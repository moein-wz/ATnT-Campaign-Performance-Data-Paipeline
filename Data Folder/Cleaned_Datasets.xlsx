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rumee/Desktop/COOP/Capstone Project/"/>
    </mc:Choice>
  </mc:AlternateContent>
  <xr:revisionPtr revIDLastSave="0" documentId="13_ncr:1_{7C082D3F-23C2-6240-BC9F-D5E77E643DA3}" xr6:coauthVersionLast="47" xr6:coauthVersionMax="47" xr10:uidLastSave="{00000000-0000-0000-0000-000000000000}"/>
  <bookViews>
    <workbookView xWindow="0" yWindow="500" windowWidth="38400" windowHeight="21100" xr2:uid="{C6B83F5A-B6B7-A04C-B2BB-A41790AF270C}"/>
  </bookViews>
  <sheets>
    <sheet name="Creative Size Overview" sheetId="3" r:id="rId1"/>
    <sheet name="Creative Messaging Overview" sheetId="4" r:id="rId2"/>
    <sheet name="Device" sheetId="6" r:id="rId3"/>
    <sheet name="Raw Data" sheetId="1" r:id="rId4"/>
  </sheets>
  <calcPr calcId="191029"/>
  <pivotCaches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6" l="1"/>
  <c r="L4" i="6"/>
  <c r="L5" i="6"/>
  <c r="L6" i="6"/>
  <c r="L7" i="6"/>
  <c r="L8" i="6"/>
  <c r="L11" i="6"/>
  <c r="L2" i="6"/>
  <c r="K3" i="6"/>
  <c r="K4" i="6"/>
  <c r="K5" i="6"/>
  <c r="K6" i="6"/>
  <c r="K7" i="6"/>
  <c r="K8" i="6"/>
  <c r="K11" i="6"/>
  <c r="K2" i="6"/>
  <c r="J3" i="6"/>
  <c r="J4" i="6"/>
  <c r="J5" i="6"/>
  <c r="J6" i="6"/>
  <c r="J7" i="6"/>
  <c r="J8" i="6"/>
  <c r="J11" i="6"/>
  <c r="J2" i="6"/>
  <c r="I3" i="6"/>
  <c r="I4" i="6"/>
  <c r="I5" i="6"/>
  <c r="I6" i="6"/>
  <c r="I7" i="6"/>
  <c r="I8" i="6"/>
  <c r="I11" i="6"/>
  <c r="I2" i="6"/>
  <c r="H3" i="6"/>
  <c r="H4" i="6"/>
  <c r="H5" i="6"/>
  <c r="H6" i="6"/>
  <c r="H7" i="6"/>
  <c r="H8" i="6"/>
  <c r="H11" i="6"/>
  <c r="H2" i="6"/>
  <c r="L5" i="4"/>
  <c r="L6" i="4"/>
  <c r="L7" i="4"/>
  <c r="L9" i="4"/>
  <c r="L4" i="4"/>
  <c r="K5" i="4"/>
  <c r="K6" i="4"/>
  <c r="K7" i="4"/>
  <c r="K9" i="4"/>
  <c r="K4" i="4"/>
  <c r="J5" i="4"/>
  <c r="J6" i="4"/>
  <c r="J7" i="4"/>
  <c r="J9" i="4"/>
  <c r="J4" i="4"/>
  <c r="I5" i="4"/>
  <c r="I6" i="4"/>
  <c r="I7" i="4"/>
  <c r="I9" i="4"/>
  <c r="I4" i="4"/>
  <c r="H5" i="4"/>
  <c r="H6" i="4"/>
  <c r="H7" i="4"/>
  <c r="H9" i="4"/>
  <c r="H4" i="4"/>
  <c r="L5" i="3"/>
  <c r="L6" i="3"/>
  <c r="L8" i="3"/>
  <c r="L4" i="3"/>
  <c r="K5" i="3"/>
  <c r="K6" i="3"/>
  <c r="K8" i="3"/>
  <c r="K4" i="3"/>
  <c r="J5" i="3"/>
  <c r="J6" i="3"/>
  <c r="J8" i="3"/>
  <c r="J4" i="3"/>
  <c r="I5" i="3"/>
  <c r="I6" i="3"/>
  <c r="I8" i="3"/>
  <c r="I4" i="3"/>
  <c r="H8" i="3"/>
  <c r="H5" i="3"/>
  <c r="H6" i="3"/>
  <c r="H4" i="3"/>
  <c r="T49" i="1"/>
  <c r="T88" i="1"/>
  <c r="T11" i="1"/>
  <c r="T43" i="1"/>
  <c r="T131" i="1"/>
  <c r="T151" i="1"/>
  <c r="T153" i="1"/>
  <c r="T104" i="1"/>
  <c r="T296" i="1"/>
  <c r="T658" i="1"/>
  <c r="T516" i="1"/>
  <c r="T294" i="1"/>
  <c r="T543" i="1"/>
  <c r="T236" i="1"/>
  <c r="T444" i="1"/>
  <c r="T419" i="1"/>
  <c r="T396" i="1"/>
  <c r="T352" i="1"/>
  <c r="T593" i="1"/>
  <c r="T615" i="1"/>
  <c r="T127" i="1"/>
  <c r="T376" i="1"/>
  <c r="T313" i="1"/>
  <c r="T355" i="1"/>
  <c r="T76" i="1"/>
  <c r="T406" i="1"/>
  <c r="T302" i="1"/>
  <c r="T73" i="1"/>
  <c r="T160" i="1"/>
  <c r="T92" i="1"/>
  <c r="T152" i="1"/>
  <c r="T288" i="1"/>
  <c r="T429" i="1"/>
  <c r="T253" i="1"/>
  <c r="T241" i="1"/>
  <c r="T365" i="1"/>
  <c r="T107" i="1"/>
  <c r="T286" i="1"/>
  <c r="T527" i="1"/>
  <c r="T597" i="1"/>
  <c r="T614" i="1"/>
  <c r="T223" i="1"/>
  <c r="T605" i="1"/>
  <c r="T138" i="1"/>
  <c r="T347" i="1"/>
  <c r="T109" i="1"/>
  <c r="T307" i="1"/>
  <c r="T460" i="1"/>
  <c r="T314" i="1"/>
  <c r="T237" i="1"/>
  <c r="T447" i="1"/>
  <c r="T450" i="1"/>
  <c r="T499" i="1"/>
  <c r="T474" i="1"/>
  <c r="T315" i="1"/>
  <c r="T496" i="1"/>
  <c r="T462" i="1"/>
  <c r="T208" i="1"/>
  <c r="T498" i="1"/>
  <c r="T636" i="1"/>
  <c r="T551" i="1"/>
  <c r="T662" i="1"/>
  <c r="T596" i="1"/>
  <c r="T669" i="1"/>
  <c r="T378" i="1"/>
  <c r="T431" i="1"/>
  <c r="T402" i="1"/>
  <c r="T224" i="1"/>
  <c r="T278" i="1"/>
  <c r="T192" i="1"/>
  <c r="T44" i="1"/>
  <c r="T80" i="1"/>
  <c r="T265" i="1"/>
  <c r="T261" i="1"/>
  <c r="T282" i="1"/>
  <c r="T454" i="1"/>
  <c r="T239" i="1"/>
  <c r="T20" i="1"/>
  <c r="T57" i="1"/>
  <c r="T203" i="1"/>
  <c r="T235" i="1"/>
  <c r="T587" i="1"/>
  <c r="T30" i="1"/>
  <c r="T250" i="1"/>
  <c r="T97" i="1"/>
  <c r="T199" i="1"/>
  <c r="T175" i="1"/>
  <c r="T387" i="1"/>
  <c r="T416" i="1"/>
  <c r="T87" i="1"/>
  <c r="T356" i="1"/>
  <c r="T308" i="1"/>
  <c r="T182" i="1"/>
  <c r="T85" i="1"/>
  <c r="T271" i="1"/>
  <c r="T293" i="1"/>
  <c r="T369" i="1"/>
  <c r="T569" i="1"/>
  <c r="T197" i="1"/>
  <c r="T602" i="1"/>
  <c r="T215" i="1"/>
  <c r="T2" i="1"/>
  <c r="T459" i="1"/>
  <c r="T274" i="1"/>
  <c r="T497" i="1"/>
  <c r="T225" i="1"/>
  <c r="T370" i="1"/>
  <c r="T682" i="1"/>
  <c r="T252" i="1"/>
  <c r="T254" i="1"/>
  <c r="T577" i="1"/>
  <c r="T589" i="1"/>
  <c r="T424" i="1"/>
  <c r="T40" i="1"/>
  <c r="T249" i="1"/>
  <c r="T640" i="1"/>
  <c r="T515" i="1"/>
  <c r="T201" i="1"/>
  <c r="T93" i="1"/>
  <c r="T185" i="1"/>
  <c r="T5" i="1"/>
  <c r="T14" i="1"/>
  <c r="T435" i="1"/>
  <c r="T326" i="1"/>
  <c r="T212" i="1"/>
  <c r="T248" i="1"/>
  <c r="T120" i="1"/>
  <c r="T533" i="1"/>
  <c r="T277" i="1"/>
  <c r="T21" i="1"/>
  <c r="T33" i="1"/>
  <c r="T563" i="1"/>
  <c r="T453" i="1"/>
  <c r="T54" i="1"/>
  <c r="T511" i="1"/>
  <c r="T483" i="1"/>
  <c r="T603" i="1"/>
  <c r="T612" i="1"/>
  <c r="T621" i="1"/>
  <c r="T159" i="1"/>
  <c r="T117" i="1"/>
  <c r="T96" i="1"/>
  <c r="T312" i="1"/>
  <c r="T38" i="1"/>
  <c r="T155" i="1"/>
  <c r="T186" i="1"/>
  <c r="T423" i="1"/>
  <c r="T379" i="1"/>
  <c r="T69" i="1"/>
  <c r="T31" i="1"/>
  <c r="T244" i="1"/>
  <c r="T351" i="1"/>
  <c r="T178" i="1"/>
  <c r="T63" i="1"/>
  <c r="T35" i="1"/>
  <c r="T393" i="1"/>
  <c r="T143" i="1"/>
  <c r="T350" i="1"/>
  <c r="T32" i="1"/>
  <c r="T232" i="1"/>
  <c r="T163" i="1"/>
  <c r="T102" i="1"/>
  <c r="T122" i="1"/>
  <c r="T71" i="1"/>
  <c r="T311" i="1"/>
  <c r="T565" i="1"/>
  <c r="T684" i="1"/>
  <c r="T538" i="1"/>
  <c r="T588" i="1"/>
  <c r="T654" i="1"/>
  <c r="T649" i="1"/>
  <c r="T144" i="1"/>
  <c r="T403" i="1"/>
  <c r="T530" i="1"/>
  <c r="T646" i="1"/>
  <c r="T535" i="1"/>
  <c r="T264" i="1"/>
  <c r="T291" i="1"/>
  <c r="T476" i="1"/>
  <c r="T617" i="1"/>
  <c r="T384" i="1"/>
  <c r="T190" i="1"/>
  <c r="T618" i="1"/>
  <c r="T539" i="1"/>
  <c r="T560" i="1"/>
  <c r="T668" i="1"/>
  <c r="T579" i="1"/>
  <c r="T631" i="1"/>
  <c r="T613" i="1"/>
  <c r="T607" i="1"/>
  <c r="T715" i="1"/>
  <c r="T216" i="1"/>
  <c r="T306" i="1"/>
  <c r="T651" i="1"/>
  <c r="T690" i="1"/>
  <c r="T659" i="1"/>
  <c r="T522" i="1"/>
  <c r="T344" i="1"/>
  <c r="T263" i="1"/>
  <c r="T82" i="1"/>
  <c r="T342" i="1"/>
  <c r="T548" i="1"/>
  <c r="T545" i="1"/>
  <c r="T600" i="1"/>
  <c r="T622" i="1"/>
  <c r="T371" i="1"/>
  <c r="T260" i="1"/>
  <c r="T488" i="1"/>
  <c r="T270" i="1"/>
  <c r="T81" i="1"/>
  <c r="T167" i="1"/>
  <c r="T422" i="1"/>
  <c r="T427" i="1"/>
  <c r="T457" i="1"/>
  <c r="T456" i="1"/>
  <c r="T480" i="1"/>
  <c r="T455" i="1"/>
  <c r="T238" i="1"/>
  <c r="T133" i="1"/>
  <c r="T115" i="1"/>
  <c r="T380" i="1"/>
  <c r="T243" i="1"/>
  <c r="T599" i="1"/>
  <c r="T493" i="1"/>
  <c r="T595" i="1"/>
  <c r="T504" i="1"/>
  <c r="T556" i="1"/>
  <c r="T644" i="1"/>
  <c r="T611" i="1"/>
  <c r="T436" i="1"/>
  <c r="T183" i="1"/>
  <c r="T204" i="1"/>
  <c r="T134" i="1"/>
  <c r="T48" i="1"/>
  <c r="T59" i="1"/>
  <c r="T37" i="1"/>
  <c r="T23" i="1"/>
  <c r="T75" i="1"/>
  <c r="T67" i="1"/>
  <c r="T95" i="1"/>
  <c r="T467" i="1"/>
  <c r="T22" i="1"/>
  <c r="T443" i="1"/>
  <c r="T84" i="1"/>
  <c r="T439" i="1"/>
  <c r="T641" i="1"/>
  <c r="T405" i="1"/>
  <c r="T425" i="1"/>
  <c r="T354" i="1"/>
  <c r="T486" i="1"/>
  <c r="T573" i="1"/>
  <c r="T34" i="1"/>
  <c r="T280" i="1"/>
  <c r="T448" i="1"/>
  <c r="T348" i="1"/>
  <c r="T173" i="1"/>
  <c r="T275" i="1"/>
  <c r="T534" i="1"/>
  <c r="T513" i="1"/>
  <c r="T385" i="1"/>
  <c r="T624" i="1"/>
  <c r="T590" i="1"/>
  <c r="T620" i="1"/>
  <c r="T509" i="1"/>
  <c r="T56" i="1"/>
  <c r="T70" i="1"/>
  <c r="T119" i="1"/>
  <c r="T373" i="1"/>
  <c r="T338" i="1"/>
  <c r="T195" i="1"/>
  <c r="T477" i="1"/>
  <c r="T524" i="1"/>
  <c r="T364" i="1"/>
  <c r="T168" i="1"/>
  <c r="T281" i="1"/>
  <c r="T407" i="1"/>
  <c r="T94" i="1"/>
  <c r="T139" i="1"/>
  <c r="T188" i="1"/>
  <c r="T346" i="1"/>
  <c r="T86" i="1"/>
  <c r="T318" i="1"/>
  <c r="T284" i="1"/>
  <c r="T531" i="1"/>
  <c r="T449" i="1"/>
  <c r="T349" i="1"/>
  <c r="T157" i="1"/>
  <c r="T27" i="1"/>
  <c r="T409" i="1"/>
  <c r="T68" i="1"/>
  <c r="T50" i="1"/>
  <c r="T340" i="1"/>
  <c r="T440" i="1"/>
  <c r="T451" i="1"/>
  <c r="T426" i="1"/>
  <c r="T529" i="1"/>
  <c r="T317" i="1"/>
  <c r="T256" i="1"/>
  <c r="T500" i="1"/>
  <c r="T632" i="1"/>
  <c r="T441" i="1"/>
  <c r="T9" i="1"/>
  <c r="T389" i="1"/>
  <c r="T218" i="1"/>
  <c r="T221" i="1"/>
  <c r="T226" i="1"/>
  <c r="T432" i="1"/>
  <c r="T321" i="1"/>
  <c r="T399" i="1"/>
  <c r="T417" i="1"/>
  <c r="T525" i="1"/>
  <c r="T492" i="1"/>
  <c r="T363" i="1"/>
  <c r="T211" i="1"/>
  <c r="T16" i="1"/>
  <c r="T213" i="1"/>
  <c r="T47" i="1"/>
  <c r="T520" i="1"/>
  <c r="T585" i="1"/>
  <c r="T149" i="1"/>
  <c r="T172" i="1"/>
  <c r="T325" i="1"/>
  <c r="T7" i="1"/>
  <c r="T64" i="1"/>
  <c r="T470" i="1"/>
  <c r="T4" i="1"/>
  <c r="T169" i="1"/>
  <c r="T79" i="1"/>
  <c r="T458" i="1"/>
  <c r="T430" i="1"/>
  <c r="T473" i="1"/>
  <c r="T187" i="1"/>
  <c r="T336" i="1"/>
  <c r="T627" i="1"/>
  <c r="T164" i="1"/>
  <c r="T647" i="1"/>
  <c r="T666" i="1"/>
  <c r="T341" i="1"/>
  <c r="T635" i="1"/>
  <c r="T670" i="1"/>
  <c r="T601" i="1"/>
  <c r="T487" i="1"/>
  <c r="T638" i="1"/>
  <c r="T692" i="1"/>
  <c r="T655" i="1"/>
  <c r="T678" i="1"/>
  <c r="T713" i="1"/>
  <c r="T113" i="1"/>
  <c r="T685" i="1"/>
  <c r="T523" i="1"/>
  <c r="T675" i="1"/>
  <c r="T716" i="1"/>
  <c r="T680" i="1"/>
  <c r="T100" i="1"/>
  <c r="T583" i="1"/>
  <c r="T696" i="1"/>
  <c r="T657" i="1"/>
  <c r="T528" i="1"/>
  <c r="T418" i="1"/>
  <c r="T209" i="1"/>
  <c r="T720" i="1"/>
  <c r="T725" i="1"/>
  <c r="T161" i="1"/>
  <c r="T717" i="1"/>
  <c r="T404" i="1"/>
  <c r="T564" i="1"/>
  <c r="T726" i="1"/>
  <c r="T495" i="1"/>
  <c r="T52" i="1"/>
  <c r="T198" i="1"/>
  <c r="T411" i="1"/>
  <c r="T60" i="1"/>
  <c r="T359" i="1"/>
  <c r="T184" i="1"/>
  <c r="T101" i="1"/>
  <c r="T505" i="1"/>
  <c r="T335" i="1"/>
  <c r="T386" i="1"/>
  <c r="T242" i="1"/>
  <c r="T231" i="1"/>
  <c r="T177" i="1"/>
  <c r="T171" i="1"/>
  <c r="T466" i="1"/>
  <c r="T156" i="1"/>
  <c r="T434" i="1"/>
  <c r="T594" i="1"/>
  <c r="T518" i="1"/>
  <c r="T691" i="1"/>
  <c r="T228" i="1"/>
  <c r="T129" i="1"/>
  <c r="T12" i="1"/>
  <c r="T247" i="1"/>
  <c r="T202" i="1"/>
  <c r="T298" i="1"/>
  <c r="T491" i="1"/>
  <c r="T608" i="1"/>
  <c r="T519" i="1"/>
  <c r="T575" i="1"/>
  <c r="T667" i="1"/>
  <c r="T727" i="1"/>
  <c r="T689" i="1"/>
  <c r="T677" i="1"/>
  <c r="T700" i="1"/>
  <c r="T704" i="1"/>
  <c r="T637" i="1"/>
  <c r="T711" i="1"/>
  <c r="T147" i="1"/>
  <c r="T62" i="1"/>
  <c r="T554" i="1"/>
  <c r="T179" i="1"/>
  <c r="T472" i="1"/>
  <c r="T728" i="1"/>
  <c r="T484" i="1"/>
  <c r="T103" i="1"/>
  <c r="T648" i="1"/>
  <c r="T382" i="1"/>
  <c r="T481" i="1"/>
  <c r="T681" i="1"/>
  <c r="T582" i="1"/>
  <c r="T572" i="1"/>
  <c r="T661" i="1"/>
  <c r="T721" i="1"/>
  <c r="T706" i="1"/>
  <c r="T705" i="1"/>
  <c r="T642" i="1"/>
  <c r="T557" i="1"/>
  <c r="T671" i="1"/>
  <c r="T158" i="1"/>
  <c r="T141" i="1"/>
  <c r="T150" i="1"/>
  <c r="T24" i="1"/>
  <c r="T206" i="1"/>
  <c r="T205" i="1"/>
  <c r="T544" i="1"/>
  <c r="T210" i="1"/>
  <c r="T74" i="1"/>
  <c r="T36" i="1"/>
  <c r="T421" i="1"/>
  <c r="T546" i="1"/>
  <c r="T83" i="1"/>
  <c r="T645" i="1"/>
  <c r="T398" i="1"/>
  <c r="T269" i="1"/>
  <c r="T222" i="1"/>
  <c r="T108" i="1"/>
  <c r="T367" i="1"/>
  <c r="T39" i="1"/>
  <c r="T561" i="1"/>
  <c r="T616" i="1"/>
  <c r="T304" i="1"/>
  <c r="T6" i="1"/>
  <c r="T217" i="1"/>
  <c r="T18" i="1"/>
  <c r="T328" i="1"/>
  <c r="T162" i="1"/>
  <c r="T66" i="1"/>
  <c r="T503" i="1"/>
  <c r="T176" i="1"/>
  <c r="T452" i="1"/>
  <c r="T604" i="1"/>
  <c r="T660" i="1"/>
  <c r="T259" i="1"/>
  <c r="T323" i="1"/>
  <c r="T330" i="1"/>
  <c r="T279" i="1"/>
  <c r="T372" i="1"/>
  <c r="T507" i="1"/>
  <c r="T437" i="1"/>
  <c r="T374" i="1"/>
  <c r="T445" i="1"/>
  <c r="T240" i="1"/>
  <c r="T629" i="1"/>
  <c r="T482" i="1"/>
  <c r="T712" i="1"/>
  <c r="T550" i="1"/>
  <c r="T410" i="1"/>
  <c r="T697" i="1"/>
  <c r="T420" i="1"/>
  <c r="T574" i="1"/>
  <c r="T194" i="1"/>
  <c r="T633" i="1"/>
  <c r="T128" i="1"/>
  <c r="T361" i="1"/>
  <c r="T390" i="1"/>
  <c r="T297" i="1"/>
  <c r="T8" i="1"/>
  <c r="T114" i="1"/>
  <c r="T408" i="1"/>
  <c r="T287" i="1"/>
  <c r="T413" i="1"/>
  <c r="T397" i="1"/>
  <c r="T506" i="1"/>
  <c r="T395" i="1"/>
  <c r="T433" i="1"/>
  <c r="T463" i="1"/>
  <c r="T664" i="1"/>
  <c r="T368" i="1"/>
  <c r="T200" i="1"/>
  <c r="T19" i="1"/>
  <c r="T461" i="1"/>
  <c r="T549" i="1"/>
  <c r="T446" i="1"/>
  <c r="T255" i="1"/>
  <c r="T251" i="1"/>
  <c r="T383" i="1"/>
  <c r="T245" i="1"/>
  <c r="T106" i="1"/>
  <c r="T98" i="1"/>
  <c r="T65" i="1"/>
  <c r="T540" i="1"/>
  <c r="T180" i="1"/>
  <c r="T592" i="1"/>
  <c r="T532" i="1"/>
  <c r="T580" i="1"/>
  <c r="T512" i="1"/>
  <c r="T494" i="1"/>
  <c r="T517" i="1"/>
  <c r="T628" i="1"/>
  <c r="T571" i="1"/>
  <c r="T552" i="1"/>
  <c r="T272" i="1"/>
  <c r="T360" i="1"/>
  <c r="T276" i="1"/>
  <c r="T479" i="1"/>
  <c r="T508" i="1"/>
  <c r="T559" i="1"/>
  <c r="T303" i="1"/>
  <c r="T478" i="1"/>
  <c r="T345" i="1"/>
  <c r="T61" i="1"/>
  <c r="T381" i="1"/>
  <c r="T91" i="1"/>
  <c r="T166" i="1"/>
  <c r="T329" i="1"/>
  <c r="T305" i="1"/>
  <c r="T148" i="1"/>
  <c r="T322" i="1"/>
  <c r="T316" i="1"/>
  <c r="T257" i="1"/>
  <c r="T140" i="1"/>
  <c r="T542" i="1"/>
  <c r="T606" i="1"/>
  <c r="T623" i="1"/>
  <c r="T501" i="1"/>
  <c r="T89" i="1"/>
  <c r="T337" i="1"/>
  <c r="T170" i="1"/>
  <c r="T219" i="1"/>
  <c r="T90" i="1"/>
  <c r="T165" i="1"/>
  <c r="T13" i="1"/>
  <c r="T78" i="1"/>
  <c r="T146" i="1"/>
  <c r="T136" i="1"/>
  <c r="T468" i="1"/>
  <c r="T358" i="1"/>
  <c r="T283" i="1"/>
  <c r="T124" i="1"/>
  <c r="T319" i="1"/>
  <c r="T125" i="1"/>
  <c r="T207" i="1"/>
  <c r="T339" i="1"/>
  <c r="T489" i="1"/>
  <c r="T309" i="1"/>
  <c r="T130" i="1"/>
  <c r="T415" i="1"/>
  <c r="T391" i="1"/>
  <c r="T118" i="1"/>
  <c r="T26" i="1"/>
  <c r="T25" i="1"/>
  <c r="T154" i="1"/>
  <c r="T719" i="1"/>
  <c r="T536" i="1"/>
  <c r="T688" i="1"/>
  <c r="T53" i="1"/>
  <c r="T121" i="1"/>
  <c r="T41" i="1"/>
  <c r="T142" i="1"/>
  <c r="T17" i="1"/>
  <c r="T10" i="1"/>
  <c r="T135" i="1"/>
  <c r="T55" i="1"/>
  <c r="T233" i="1"/>
  <c r="T333" i="1"/>
  <c r="T267" i="1"/>
  <c r="T99" i="1"/>
  <c r="T442" i="1"/>
  <c r="T553" i="1"/>
  <c r="T392" i="1"/>
  <c r="T568" i="1"/>
  <c r="T652" i="1"/>
  <c r="T558" i="1"/>
  <c r="T625" i="1"/>
  <c r="T324" i="1"/>
  <c r="T357" i="1"/>
  <c r="T327" i="1"/>
  <c r="T634" i="1"/>
  <c r="T331" i="1"/>
  <c r="T266" i="1"/>
  <c r="T414" i="1"/>
  <c r="T112" i="1"/>
  <c r="T189" i="1"/>
  <c r="T214" i="1"/>
  <c r="T428" i="1"/>
  <c r="T15" i="1"/>
  <c r="T366" i="1"/>
  <c r="T193" i="1"/>
  <c r="T246" i="1"/>
  <c r="T77" i="1"/>
  <c r="T332" i="1"/>
  <c r="T229" i="1"/>
  <c r="T299" i="1"/>
  <c r="T191" i="1"/>
  <c r="T584" i="1"/>
  <c r="T377" i="1"/>
  <c r="T394" i="1"/>
  <c r="T295" i="1"/>
  <c r="T643" i="1"/>
  <c r="T42" i="1"/>
  <c r="T591" i="1"/>
  <c r="T502" i="1"/>
  <c r="T485" i="1"/>
  <c r="T29" i="1"/>
  <c r="T687" i="1"/>
  <c r="T656" i="1"/>
  <c r="T220" i="1"/>
  <c r="T230" i="1"/>
  <c r="T562" i="1"/>
  <c r="T258" i="1"/>
  <c r="T438" i="1"/>
  <c r="T541" i="1"/>
  <c r="T567" i="1"/>
  <c r="T598" i="1"/>
  <c r="T181" i="1"/>
  <c r="T464" i="1"/>
  <c r="T578" i="1"/>
  <c r="T547" i="1"/>
  <c r="T401" i="1"/>
  <c r="T227" i="1"/>
  <c r="T490" i="1"/>
  <c r="T353" i="1"/>
  <c r="T626" i="1"/>
  <c r="T412" i="1"/>
  <c r="T707" i="1"/>
  <c r="T650" i="1"/>
  <c r="T708" i="1"/>
  <c r="T196" i="1"/>
  <c r="T570" i="1"/>
  <c r="T566" i="1"/>
  <c r="T679" i="1"/>
  <c r="T663" i="1"/>
  <c r="T609" i="1"/>
  <c r="T674" i="1"/>
  <c r="T676" i="1"/>
  <c r="T521" i="1"/>
  <c r="T693" i="1"/>
  <c r="T514" i="1"/>
  <c r="T701" i="1"/>
  <c r="T695" i="1"/>
  <c r="T320" i="1"/>
  <c r="T105" i="1"/>
  <c r="T362" i="1"/>
  <c r="T262" i="1"/>
  <c r="T116" i="1"/>
  <c r="T72" i="1"/>
  <c r="T137" i="1"/>
  <c r="T289" i="1"/>
  <c r="T469" i="1"/>
  <c r="T375" i="1"/>
  <c r="T123" i="1"/>
  <c r="T51" i="1"/>
  <c r="T285" i="1"/>
  <c r="T510" i="1"/>
  <c r="T268" i="1"/>
  <c r="T300" i="1"/>
  <c r="T273" i="1"/>
  <c r="T28" i="1"/>
  <c r="T388" i="1"/>
  <c r="T110" i="1"/>
  <c r="T334" i="1"/>
  <c r="T400" i="1"/>
  <c r="T343" i="1"/>
  <c r="T45" i="1"/>
  <c r="T665" i="1"/>
  <c r="T710" i="1"/>
  <c r="T694" i="1"/>
  <c r="T639" i="1"/>
  <c r="T465" i="1"/>
  <c r="T619" i="1"/>
  <c r="T683" i="1"/>
  <c r="T686" i="1"/>
  <c r="T672" i="1"/>
  <c r="T46" i="1"/>
  <c r="T475" i="1"/>
  <c r="T526" i="1"/>
  <c r="T724" i="1"/>
  <c r="T673" i="1"/>
  <c r="T301" i="1"/>
  <c r="T581" i="1"/>
  <c r="T471" i="1"/>
  <c r="T718" i="1"/>
  <c r="T723" i="1"/>
  <c r="T714" i="1"/>
  <c r="T576" i="1"/>
  <c r="T702" i="1"/>
  <c r="T630" i="1"/>
  <c r="T709" i="1"/>
  <c r="T610" i="1"/>
  <c r="T698" i="1"/>
  <c r="T722" i="1"/>
  <c r="T537" i="1"/>
  <c r="T292" i="1"/>
  <c r="T555" i="1"/>
  <c r="T126" i="1"/>
  <c r="T111" i="1"/>
  <c r="T58" i="1"/>
  <c r="T3" i="1"/>
  <c r="T310" i="1"/>
  <c r="T586" i="1"/>
  <c r="T145" i="1"/>
  <c r="T132" i="1"/>
  <c r="T174" i="1"/>
  <c r="T699" i="1"/>
  <c r="T703" i="1"/>
  <c r="T234" i="1"/>
  <c r="T653" i="1"/>
  <c r="T290" i="1"/>
  <c r="S49" i="1"/>
  <c r="S88" i="1"/>
  <c r="S11" i="1"/>
  <c r="S43" i="1"/>
  <c r="S131" i="1"/>
  <c r="S151" i="1"/>
  <c r="S153" i="1"/>
  <c r="S104" i="1"/>
  <c r="S296" i="1"/>
  <c r="S658" i="1"/>
  <c r="S516" i="1"/>
  <c r="S294" i="1"/>
  <c r="S543" i="1"/>
  <c r="S236" i="1"/>
  <c r="S444" i="1"/>
  <c r="S419" i="1"/>
  <c r="S396" i="1"/>
  <c r="S352" i="1"/>
  <c r="S593" i="1"/>
  <c r="S615" i="1"/>
  <c r="S127" i="1"/>
  <c r="S376" i="1"/>
  <c r="S313" i="1"/>
  <c r="S355" i="1"/>
  <c r="S76" i="1"/>
  <c r="S406" i="1"/>
  <c r="S302" i="1"/>
  <c r="S73" i="1"/>
  <c r="S160" i="1"/>
  <c r="S92" i="1"/>
  <c r="S152" i="1"/>
  <c r="S288" i="1"/>
  <c r="S429" i="1"/>
  <c r="S253" i="1"/>
  <c r="S241" i="1"/>
  <c r="S365" i="1"/>
  <c r="S107" i="1"/>
  <c r="S286" i="1"/>
  <c r="S527" i="1"/>
  <c r="S597" i="1"/>
  <c r="S614" i="1"/>
  <c r="S223" i="1"/>
  <c r="S605" i="1"/>
  <c r="S138" i="1"/>
  <c r="S347" i="1"/>
  <c r="S109" i="1"/>
  <c r="S307" i="1"/>
  <c r="S460" i="1"/>
  <c r="S314" i="1"/>
  <c r="S237" i="1"/>
  <c r="S447" i="1"/>
  <c r="S450" i="1"/>
  <c r="S499" i="1"/>
  <c r="S474" i="1"/>
  <c r="S315" i="1"/>
  <c r="S496" i="1"/>
  <c r="S462" i="1"/>
  <c r="S208" i="1"/>
  <c r="S498" i="1"/>
  <c r="S636" i="1"/>
  <c r="S551" i="1"/>
  <c r="S662" i="1"/>
  <c r="S596" i="1"/>
  <c r="S669" i="1"/>
  <c r="S378" i="1"/>
  <c r="S431" i="1"/>
  <c r="S402" i="1"/>
  <c r="S224" i="1"/>
  <c r="S278" i="1"/>
  <c r="S192" i="1"/>
  <c r="S44" i="1"/>
  <c r="S80" i="1"/>
  <c r="S265" i="1"/>
  <c r="S261" i="1"/>
  <c r="S282" i="1"/>
  <c r="S454" i="1"/>
  <c r="S239" i="1"/>
  <c r="S20" i="1"/>
  <c r="S57" i="1"/>
  <c r="S203" i="1"/>
  <c r="S235" i="1"/>
  <c r="S587" i="1"/>
  <c r="S30" i="1"/>
  <c r="S250" i="1"/>
  <c r="S97" i="1"/>
  <c r="S199" i="1"/>
  <c r="S175" i="1"/>
  <c r="S387" i="1"/>
  <c r="S416" i="1"/>
  <c r="S87" i="1"/>
  <c r="S356" i="1"/>
  <c r="S308" i="1"/>
  <c r="S182" i="1"/>
  <c r="S85" i="1"/>
  <c r="S271" i="1"/>
  <c r="S293" i="1"/>
  <c r="S369" i="1"/>
  <c r="S569" i="1"/>
  <c r="S197" i="1"/>
  <c r="S602" i="1"/>
  <c r="S215" i="1"/>
  <c r="S2" i="1"/>
  <c r="S459" i="1"/>
  <c r="S274" i="1"/>
  <c r="S497" i="1"/>
  <c r="S225" i="1"/>
  <c r="S370" i="1"/>
  <c r="S682" i="1"/>
  <c r="S252" i="1"/>
  <c r="S254" i="1"/>
  <c r="S577" i="1"/>
  <c r="S589" i="1"/>
  <c r="S424" i="1"/>
  <c r="S40" i="1"/>
  <c r="S249" i="1"/>
  <c r="S640" i="1"/>
  <c r="S515" i="1"/>
  <c r="S201" i="1"/>
  <c r="S93" i="1"/>
  <c r="S185" i="1"/>
  <c r="S5" i="1"/>
  <c r="S14" i="1"/>
  <c r="S435" i="1"/>
  <c r="S326" i="1"/>
  <c r="S212" i="1"/>
  <c r="S248" i="1"/>
  <c r="S120" i="1"/>
  <c r="S533" i="1"/>
  <c r="S277" i="1"/>
  <c r="S21" i="1"/>
  <c r="S33" i="1"/>
  <c r="S563" i="1"/>
  <c r="S453" i="1"/>
  <c r="S54" i="1"/>
  <c r="S511" i="1"/>
  <c r="S483" i="1"/>
  <c r="S603" i="1"/>
  <c r="S612" i="1"/>
  <c r="S621" i="1"/>
  <c r="S159" i="1"/>
  <c r="S117" i="1"/>
  <c r="S96" i="1"/>
  <c r="S312" i="1"/>
  <c r="S38" i="1"/>
  <c r="S155" i="1"/>
  <c r="S186" i="1"/>
  <c r="S423" i="1"/>
  <c r="S379" i="1"/>
  <c r="S69" i="1"/>
  <c r="S31" i="1"/>
  <c r="S244" i="1"/>
  <c r="S351" i="1"/>
  <c r="S178" i="1"/>
  <c r="S63" i="1"/>
  <c r="S35" i="1"/>
  <c r="S393" i="1"/>
  <c r="S143" i="1"/>
  <c r="S350" i="1"/>
  <c r="S32" i="1"/>
  <c r="S232" i="1"/>
  <c r="S163" i="1"/>
  <c r="S102" i="1"/>
  <c r="S122" i="1"/>
  <c r="S71" i="1"/>
  <c r="S311" i="1"/>
  <c r="S565" i="1"/>
  <c r="S684" i="1"/>
  <c r="S538" i="1"/>
  <c r="S588" i="1"/>
  <c r="S654" i="1"/>
  <c r="S649" i="1"/>
  <c r="S144" i="1"/>
  <c r="S403" i="1"/>
  <c r="S530" i="1"/>
  <c r="S646" i="1"/>
  <c r="S535" i="1"/>
  <c r="S264" i="1"/>
  <c r="S291" i="1"/>
  <c r="S476" i="1"/>
  <c r="S617" i="1"/>
  <c r="S384" i="1"/>
  <c r="S190" i="1"/>
  <c r="S618" i="1"/>
  <c r="S539" i="1"/>
  <c r="S560" i="1"/>
  <c r="S668" i="1"/>
  <c r="S579" i="1"/>
  <c r="S631" i="1"/>
  <c r="S613" i="1"/>
  <c r="S607" i="1"/>
  <c r="S715" i="1"/>
  <c r="S216" i="1"/>
  <c r="S306" i="1"/>
  <c r="S651" i="1"/>
  <c r="S690" i="1"/>
  <c r="S659" i="1"/>
  <c r="S522" i="1"/>
  <c r="S344" i="1"/>
  <c r="S263" i="1"/>
  <c r="S82" i="1"/>
  <c r="S342" i="1"/>
  <c r="S548" i="1"/>
  <c r="S545" i="1"/>
  <c r="S600" i="1"/>
  <c r="S622" i="1"/>
  <c r="S371" i="1"/>
  <c r="S260" i="1"/>
  <c r="S488" i="1"/>
  <c r="S270" i="1"/>
  <c r="S81" i="1"/>
  <c r="S167" i="1"/>
  <c r="S422" i="1"/>
  <c r="S427" i="1"/>
  <c r="S457" i="1"/>
  <c r="S456" i="1"/>
  <c r="S480" i="1"/>
  <c r="S455" i="1"/>
  <c r="S238" i="1"/>
  <c r="S133" i="1"/>
  <c r="S115" i="1"/>
  <c r="S380" i="1"/>
  <c r="S243" i="1"/>
  <c r="S599" i="1"/>
  <c r="S493" i="1"/>
  <c r="S595" i="1"/>
  <c r="S504" i="1"/>
  <c r="S556" i="1"/>
  <c r="S644" i="1"/>
  <c r="S611" i="1"/>
  <c r="S436" i="1"/>
  <c r="S183" i="1"/>
  <c r="S204" i="1"/>
  <c r="S134" i="1"/>
  <c r="S48" i="1"/>
  <c r="S59" i="1"/>
  <c r="S37" i="1"/>
  <c r="S23" i="1"/>
  <c r="S75" i="1"/>
  <c r="S67" i="1"/>
  <c r="S95" i="1"/>
  <c r="S467" i="1"/>
  <c r="S22" i="1"/>
  <c r="S443" i="1"/>
  <c r="S84" i="1"/>
  <c r="S439" i="1"/>
  <c r="S641" i="1"/>
  <c r="S405" i="1"/>
  <c r="S425" i="1"/>
  <c r="S354" i="1"/>
  <c r="S486" i="1"/>
  <c r="S573" i="1"/>
  <c r="S34" i="1"/>
  <c r="S280" i="1"/>
  <c r="S448" i="1"/>
  <c r="S348" i="1"/>
  <c r="S173" i="1"/>
  <c r="S275" i="1"/>
  <c r="S534" i="1"/>
  <c r="S513" i="1"/>
  <c r="S385" i="1"/>
  <c r="S624" i="1"/>
  <c r="S590" i="1"/>
  <c r="S620" i="1"/>
  <c r="S509" i="1"/>
  <c r="S56" i="1"/>
  <c r="S70" i="1"/>
  <c r="S119" i="1"/>
  <c r="S373" i="1"/>
  <c r="S338" i="1"/>
  <c r="S195" i="1"/>
  <c r="S477" i="1"/>
  <c r="S524" i="1"/>
  <c r="S364" i="1"/>
  <c r="S168" i="1"/>
  <c r="S281" i="1"/>
  <c r="S407" i="1"/>
  <c r="S94" i="1"/>
  <c r="S139" i="1"/>
  <c r="S188" i="1"/>
  <c r="S346" i="1"/>
  <c r="S86" i="1"/>
  <c r="S318" i="1"/>
  <c r="S284" i="1"/>
  <c r="S531" i="1"/>
  <c r="S449" i="1"/>
  <c r="S349" i="1"/>
  <c r="S157" i="1"/>
  <c r="S27" i="1"/>
  <c r="S409" i="1"/>
  <c r="S68" i="1"/>
  <c r="S50" i="1"/>
  <c r="S340" i="1"/>
  <c r="S440" i="1"/>
  <c r="S451" i="1"/>
  <c r="S426" i="1"/>
  <c r="S529" i="1"/>
  <c r="S317" i="1"/>
  <c r="S256" i="1"/>
  <c r="S500" i="1"/>
  <c r="S632" i="1"/>
  <c r="S441" i="1"/>
  <c r="S9" i="1"/>
  <c r="S389" i="1"/>
  <c r="S218" i="1"/>
  <c r="S221" i="1"/>
  <c r="S226" i="1"/>
  <c r="S432" i="1"/>
  <c r="S321" i="1"/>
  <c r="S399" i="1"/>
  <c r="S417" i="1"/>
  <c r="S525" i="1"/>
  <c r="S492" i="1"/>
  <c r="S363" i="1"/>
  <c r="S211" i="1"/>
  <c r="S16" i="1"/>
  <c r="S213" i="1"/>
  <c r="S47" i="1"/>
  <c r="S520" i="1"/>
  <c r="S585" i="1"/>
  <c r="S149" i="1"/>
  <c r="S172" i="1"/>
  <c r="S325" i="1"/>
  <c r="S7" i="1"/>
  <c r="S64" i="1"/>
  <c r="S470" i="1"/>
  <c r="S4" i="1"/>
  <c r="S169" i="1"/>
  <c r="S79" i="1"/>
  <c r="S458" i="1"/>
  <c r="S430" i="1"/>
  <c r="S473" i="1"/>
  <c r="S187" i="1"/>
  <c r="S336" i="1"/>
  <c r="S627" i="1"/>
  <c r="S164" i="1"/>
  <c r="S647" i="1"/>
  <c r="S666" i="1"/>
  <c r="S341" i="1"/>
  <c r="S635" i="1"/>
  <c r="S670" i="1"/>
  <c r="S601" i="1"/>
  <c r="S487" i="1"/>
  <c r="S638" i="1"/>
  <c r="S692" i="1"/>
  <c r="S655" i="1"/>
  <c r="S678" i="1"/>
  <c r="S713" i="1"/>
  <c r="S113" i="1"/>
  <c r="S685" i="1"/>
  <c r="S523" i="1"/>
  <c r="S675" i="1"/>
  <c r="S716" i="1"/>
  <c r="S680" i="1"/>
  <c r="S100" i="1"/>
  <c r="S583" i="1"/>
  <c r="S696" i="1"/>
  <c r="S657" i="1"/>
  <c r="S528" i="1"/>
  <c r="S418" i="1"/>
  <c r="S209" i="1"/>
  <c r="S720" i="1"/>
  <c r="S725" i="1"/>
  <c r="S161" i="1"/>
  <c r="S717" i="1"/>
  <c r="S404" i="1"/>
  <c r="S564" i="1"/>
  <c r="S726" i="1"/>
  <c r="S495" i="1"/>
  <c r="S52" i="1"/>
  <c r="S198" i="1"/>
  <c r="S411" i="1"/>
  <c r="S60" i="1"/>
  <c r="S359" i="1"/>
  <c r="S184" i="1"/>
  <c r="S101" i="1"/>
  <c r="S505" i="1"/>
  <c r="S335" i="1"/>
  <c r="S386" i="1"/>
  <c r="S242" i="1"/>
  <c r="S231" i="1"/>
  <c r="S177" i="1"/>
  <c r="S171" i="1"/>
  <c r="S466" i="1"/>
  <c r="S156" i="1"/>
  <c r="S434" i="1"/>
  <c r="S594" i="1"/>
  <c r="S518" i="1"/>
  <c r="S691" i="1"/>
  <c r="S228" i="1"/>
  <c r="S129" i="1"/>
  <c r="S12" i="1"/>
  <c r="S247" i="1"/>
  <c r="S202" i="1"/>
  <c r="S298" i="1"/>
  <c r="S491" i="1"/>
  <c r="S608" i="1"/>
  <c r="S519" i="1"/>
  <c r="S575" i="1"/>
  <c r="S667" i="1"/>
  <c r="S727" i="1"/>
  <c r="S689" i="1"/>
  <c r="S677" i="1"/>
  <c r="S700" i="1"/>
  <c r="S704" i="1"/>
  <c r="S637" i="1"/>
  <c r="S711" i="1"/>
  <c r="S147" i="1"/>
  <c r="S62" i="1"/>
  <c r="S554" i="1"/>
  <c r="S179" i="1"/>
  <c r="S472" i="1"/>
  <c r="S728" i="1"/>
  <c r="S484" i="1"/>
  <c r="S103" i="1"/>
  <c r="S648" i="1"/>
  <c r="S382" i="1"/>
  <c r="S481" i="1"/>
  <c r="S681" i="1"/>
  <c r="S582" i="1"/>
  <c r="S572" i="1"/>
  <c r="S661" i="1"/>
  <c r="S721" i="1"/>
  <c r="S706" i="1"/>
  <c r="S705" i="1"/>
  <c r="S642" i="1"/>
  <c r="S557" i="1"/>
  <c r="S671" i="1"/>
  <c r="S158" i="1"/>
  <c r="S141" i="1"/>
  <c r="S150" i="1"/>
  <c r="S24" i="1"/>
  <c r="S206" i="1"/>
  <c r="S205" i="1"/>
  <c r="S544" i="1"/>
  <c r="S210" i="1"/>
  <c r="S74" i="1"/>
  <c r="S36" i="1"/>
  <c r="S421" i="1"/>
  <c r="S546" i="1"/>
  <c r="S83" i="1"/>
  <c r="S645" i="1"/>
  <c r="S398" i="1"/>
  <c r="S269" i="1"/>
  <c r="S222" i="1"/>
  <c r="S108" i="1"/>
  <c r="S367" i="1"/>
  <c r="S39" i="1"/>
  <c r="S561" i="1"/>
  <c r="S616" i="1"/>
  <c r="S304" i="1"/>
  <c r="S6" i="1"/>
  <c r="S217" i="1"/>
  <c r="S18" i="1"/>
  <c r="S328" i="1"/>
  <c r="S162" i="1"/>
  <c r="S66" i="1"/>
  <c r="S503" i="1"/>
  <c r="S176" i="1"/>
  <c r="S452" i="1"/>
  <c r="S604" i="1"/>
  <c r="S660" i="1"/>
  <c r="S259" i="1"/>
  <c r="S323" i="1"/>
  <c r="S330" i="1"/>
  <c r="S279" i="1"/>
  <c r="S372" i="1"/>
  <c r="S507" i="1"/>
  <c r="S437" i="1"/>
  <c r="S374" i="1"/>
  <c r="S445" i="1"/>
  <c r="S240" i="1"/>
  <c r="S629" i="1"/>
  <c r="S482" i="1"/>
  <c r="S712" i="1"/>
  <c r="S550" i="1"/>
  <c r="S410" i="1"/>
  <c r="S697" i="1"/>
  <c r="S420" i="1"/>
  <c r="S574" i="1"/>
  <c r="S194" i="1"/>
  <c r="S633" i="1"/>
  <c r="S128" i="1"/>
  <c r="S361" i="1"/>
  <c r="S390" i="1"/>
  <c r="S297" i="1"/>
  <c r="S8" i="1"/>
  <c r="S114" i="1"/>
  <c r="S408" i="1"/>
  <c r="S287" i="1"/>
  <c r="S413" i="1"/>
  <c r="S397" i="1"/>
  <c r="S506" i="1"/>
  <c r="S395" i="1"/>
  <c r="S433" i="1"/>
  <c r="S463" i="1"/>
  <c r="S664" i="1"/>
  <c r="S368" i="1"/>
  <c r="S200" i="1"/>
  <c r="S19" i="1"/>
  <c r="S461" i="1"/>
  <c r="S549" i="1"/>
  <c r="S446" i="1"/>
  <c r="S255" i="1"/>
  <c r="S251" i="1"/>
  <c r="S383" i="1"/>
  <c r="S245" i="1"/>
  <c r="S106" i="1"/>
  <c r="S98" i="1"/>
  <c r="S65" i="1"/>
  <c r="S540" i="1"/>
  <c r="S180" i="1"/>
  <c r="S592" i="1"/>
  <c r="S532" i="1"/>
  <c r="S580" i="1"/>
  <c r="S512" i="1"/>
  <c r="S494" i="1"/>
  <c r="S517" i="1"/>
  <c r="S628" i="1"/>
  <c r="S571" i="1"/>
  <c r="S552" i="1"/>
  <c r="S272" i="1"/>
  <c r="S360" i="1"/>
  <c r="S276" i="1"/>
  <c r="S479" i="1"/>
  <c r="S508" i="1"/>
  <c r="S559" i="1"/>
  <c r="S303" i="1"/>
  <c r="S478" i="1"/>
  <c r="S345" i="1"/>
  <c r="S61" i="1"/>
  <c r="S381" i="1"/>
  <c r="S91" i="1"/>
  <c r="S166" i="1"/>
  <c r="S329" i="1"/>
  <c r="S305" i="1"/>
  <c r="S148" i="1"/>
  <c r="S322" i="1"/>
  <c r="S316" i="1"/>
  <c r="S257" i="1"/>
  <c r="S140" i="1"/>
  <c r="S542" i="1"/>
  <c r="S606" i="1"/>
  <c r="S623" i="1"/>
  <c r="S501" i="1"/>
  <c r="S89" i="1"/>
  <c r="S337" i="1"/>
  <c r="S170" i="1"/>
  <c r="S219" i="1"/>
  <c r="S90" i="1"/>
  <c r="S165" i="1"/>
  <c r="S13" i="1"/>
  <c r="S78" i="1"/>
  <c r="S146" i="1"/>
  <c r="S136" i="1"/>
  <c r="S468" i="1"/>
  <c r="S358" i="1"/>
  <c r="S283" i="1"/>
  <c r="S124" i="1"/>
  <c r="S319" i="1"/>
  <c r="S125" i="1"/>
  <c r="S207" i="1"/>
  <c r="S339" i="1"/>
  <c r="S489" i="1"/>
  <c r="S309" i="1"/>
  <c r="S130" i="1"/>
  <c r="S415" i="1"/>
  <c r="S391" i="1"/>
  <c r="S118" i="1"/>
  <c r="S26" i="1"/>
  <c r="S25" i="1"/>
  <c r="S154" i="1"/>
  <c r="S719" i="1"/>
  <c r="S536" i="1"/>
  <c r="S688" i="1"/>
  <c r="S53" i="1"/>
  <c r="S121" i="1"/>
  <c r="S41" i="1"/>
  <c r="S142" i="1"/>
  <c r="S17" i="1"/>
  <c r="S10" i="1"/>
  <c r="S135" i="1"/>
  <c r="S55" i="1"/>
  <c r="S233" i="1"/>
  <c r="S333" i="1"/>
  <c r="S267" i="1"/>
  <c r="S99" i="1"/>
  <c r="S442" i="1"/>
  <c r="S553" i="1"/>
  <c r="S392" i="1"/>
  <c r="S568" i="1"/>
  <c r="S652" i="1"/>
  <c r="S558" i="1"/>
  <c r="S625" i="1"/>
  <c r="S324" i="1"/>
  <c r="S357" i="1"/>
  <c r="S327" i="1"/>
  <c r="S634" i="1"/>
  <c r="S331" i="1"/>
  <c r="S266" i="1"/>
  <c r="S414" i="1"/>
  <c r="S112" i="1"/>
  <c r="S189" i="1"/>
  <c r="S214" i="1"/>
  <c r="S428" i="1"/>
  <c r="S15" i="1"/>
  <c r="S366" i="1"/>
  <c r="S193" i="1"/>
  <c r="S246" i="1"/>
  <c r="S77" i="1"/>
  <c r="S332" i="1"/>
  <c r="S229" i="1"/>
  <c r="S299" i="1"/>
  <c r="S191" i="1"/>
  <c r="S584" i="1"/>
  <c r="S377" i="1"/>
  <c r="S394" i="1"/>
  <c r="S295" i="1"/>
  <c r="S643" i="1"/>
  <c r="S42" i="1"/>
  <c r="S591" i="1"/>
  <c r="S502" i="1"/>
  <c r="S485" i="1"/>
  <c r="S29" i="1"/>
  <c r="S687" i="1"/>
  <c r="S656" i="1"/>
  <c r="S220" i="1"/>
  <c r="S230" i="1"/>
  <c r="S562" i="1"/>
  <c r="S258" i="1"/>
  <c r="S438" i="1"/>
  <c r="S541" i="1"/>
  <c r="S567" i="1"/>
  <c r="S598" i="1"/>
  <c r="S181" i="1"/>
  <c r="S464" i="1"/>
  <c r="S578" i="1"/>
  <c r="S547" i="1"/>
  <c r="S401" i="1"/>
  <c r="S227" i="1"/>
  <c r="S490" i="1"/>
  <c r="S353" i="1"/>
  <c r="S626" i="1"/>
  <c r="S412" i="1"/>
  <c r="S707" i="1"/>
  <c r="S650" i="1"/>
  <c r="S708" i="1"/>
  <c r="S196" i="1"/>
  <c r="S570" i="1"/>
  <c r="S566" i="1"/>
  <c r="S679" i="1"/>
  <c r="S663" i="1"/>
  <c r="S609" i="1"/>
  <c r="S674" i="1"/>
  <c r="S676" i="1"/>
  <c r="S521" i="1"/>
  <c r="S693" i="1"/>
  <c r="S514" i="1"/>
  <c r="S701" i="1"/>
  <c r="S695" i="1"/>
  <c r="S320" i="1"/>
  <c r="S105" i="1"/>
  <c r="S362" i="1"/>
  <c r="S262" i="1"/>
  <c r="S116" i="1"/>
  <c r="S72" i="1"/>
  <c r="S137" i="1"/>
  <c r="S289" i="1"/>
  <c r="S469" i="1"/>
  <c r="S375" i="1"/>
  <c r="S123" i="1"/>
  <c r="S51" i="1"/>
  <c r="S285" i="1"/>
  <c r="S510" i="1"/>
  <c r="S268" i="1"/>
  <c r="S300" i="1"/>
  <c r="S273" i="1"/>
  <c r="S28" i="1"/>
  <c r="S388" i="1"/>
  <c r="S110" i="1"/>
  <c r="S334" i="1"/>
  <c r="S400" i="1"/>
  <c r="S343" i="1"/>
  <c r="S45" i="1"/>
  <c r="S665" i="1"/>
  <c r="S710" i="1"/>
  <c r="S694" i="1"/>
  <c r="S639" i="1"/>
  <c r="S465" i="1"/>
  <c r="S619" i="1"/>
  <c r="S683" i="1"/>
  <c r="S686" i="1"/>
  <c r="S672" i="1"/>
  <c r="S46" i="1"/>
  <c r="S475" i="1"/>
  <c r="S526" i="1"/>
  <c r="S724" i="1"/>
  <c r="S673" i="1"/>
  <c r="S301" i="1"/>
  <c r="S581" i="1"/>
  <c r="S471" i="1"/>
  <c r="S718" i="1"/>
  <c r="S723" i="1"/>
  <c r="S714" i="1"/>
  <c r="S576" i="1"/>
  <c r="S702" i="1"/>
  <c r="S630" i="1"/>
  <c r="S709" i="1"/>
  <c r="S610" i="1"/>
  <c r="S698" i="1"/>
  <c r="S722" i="1"/>
  <c r="S537" i="1"/>
  <c r="S292" i="1"/>
  <c r="S555" i="1"/>
  <c r="S126" i="1"/>
  <c r="S111" i="1"/>
  <c r="S58" i="1"/>
  <c r="S3" i="1"/>
  <c r="S310" i="1"/>
  <c r="S586" i="1"/>
  <c r="S145" i="1"/>
  <c r="S132" i="1"/>
  <c r="S174" i="1"/>
  <c r="S699" i="1"/>
  <c r="S703" i="1"/>
  <c r="S234" i="1"/>
  <c r="S653" i="1"/>
  <c r="S290" i="1"/>
  <c r="R49" i="1"/>
  <c r="R88" i="1"/>
  <c r="R11" i="1"/>
  <c r="R43" i="1"/>
  <c r="R131" i="1"/>
  <c r="R151" i="1"/>
  <c r="R153" i="1"/>
  <c r="R104" i="1"/>
  <c r="R296" i="1"/>
  <c r="R658" i="1"/>
  <c r="R516" i="1"/>
  <c r="R294" i="1"/>
  <c r="R543" i="1"/>
  <c r="R236" i="1"/>
  <c r="R444" i="1"/>
  <c r="R419" i="1"/>
  <c r="R396" i="1"/>
  <c r="R352" i="1"/>
  <c r="R593" i="1"/>
  <c r="R615" i="1"/>
  <c r="R127" i="1"/>
  <c r="R376" i="1"/>
  <c r="R313" i="1"/>
  <c r="R355" i="1"/>
  <c r="R76" i="1"/>
  <c r="R406" i="1"/>
  <c r="R302" i="1"/>
  <c r="R73" i="1"/>
  <c r="R160" i="1"/>
  <c r="R92" i="1"/>
  <c r="R152" i="1"/>
  <c r="R288" i="1"/>
  <c r="R429" i="1"/>
  <c r="R253" i="1"/>
  <c r="R241" i="1"/>
  <c r="R365" i="1"/>
  <c r="R107" i="1"/>
  <c r="R286" i="1"/>
  <c r="R527" i="1"/>
  <c r="R597" i="1"/>
  <c r="R614" i="1"/>
  <c r="R223" i="1"/>
  <c r="R605" i="1"/>
  <c r="R138" i="1"/>
  <c r="R347" i="1"/>
  <c r="R109" i="1"/>
  <c r="R307" i="1"/>
  <c r="R460" i="1"/>
  <c r="R314" i="1"/>
  <c r="R237" i="1"/>
  <c r="R447" i="1"/>
  <c r="R450" i="1"/>
  <c r="R499" i="1"/>
  <c r="R474" i="1"/>
  <c r="R315" i="1"/>
  <c r="R496" i="1"/>
  <c r="R462" i="1"/>
  <c r="R208" i="1"/>
  <c r="R498" i="1"/>
  <c r="R636" i="1"/>
  <c r="R551" i="1"/>
  <c r="R662" i="1"/>
  <c r="R596" i="1"/>
  <c r="R669" i="1"/>
  <c r="R378" i="1"/>
  <c r="R431" i="1"/>
  <c r="R402" i="1"/>
  <c r="R224" i="1"/>
  <c r="R278" i="1"/>
  <c r="R192" i="1"/>
  <c r="R44" i="1"/>
  <c r="R80" i="1"/>
  <c r="R265" i="1"/>
  <c r="R261" i="1"/>
  <c r="R282" i="1"/>
  <c r="R454" i="1"/>
  <c r="R239" i="1"/>
  <c r="R20" i="1"/>
  <c r="R57" i="1"/>
  <c r="R203" i="1"/>
  <c r="R235" i="1"/>
  <c r="R587" i="1"/>
  <c r="R30" i="1"/>
  <c r="R250" i="1"/>
  <c r="R97" i="1"/>
  <c r="R199" i="1"/>
  <c r="R175" i="1"/>
  <c r="R387" i="1"/>
  <c r="R416" i="1"/>
  <c r="R87" i="1"/>
  <c r="R356" i="1"/>
  <c r="R308" i="1"/>
  <c r="R182" i="1"/>
  <c r="R85" i="1"/>
  <c r="R271" i="1"/>
  <c r="R293" i="1"/>
  <c r="R369" i="1"/>
  <c r="R569" i="1"/>
  <c r="R197" i="1"/>
  <c r="R602" i="1"/>
  <c r="R215" i="1"/>
  <c r="R2" i="1"/>
  <c r="R459" i="1"/>
  <c r="R274" i="1"/>
  <c r="R497" i="1"/>
  <c r="R225" i="1"/>
  <c r="R370" i="1"/>
  <c r="R682" i="1"/>
  <c r="R252" i="1"/>
  <c r="R254" i="1"/>
  <c r="R577" i="1"/>
  <c r="R589" i="1"/>
  <c r="R424" i="1"/>
  <c r="R40" i="1"/>
  <c r="R249" i="1"/>
  <c r="R640" i="1"/>
  <c r="R515" i="1"/>
  <c r="R201" i="1"/>
  <c r="R93" i="1"/>
  <c r="R185" i="1"/>
  <c r="R5" i="1"/>
  <c r="R14" i="1"/>
  <c r="R435" i="1"/>
  <c r="R326" i="1"/>
  <c r="R212" i="1"/>
  <c r="R248" i="1"/>
  <c r="R120" i="1"/>
  <c r="R533" i="1"/>
  <c r="R277" i="1"/>
  <c r="R21" i="1"/>
  <c r="R33" i="1"/>
  <c r="R563" i="1"/>
  <c r="R453" i="1"/>
  <c r="R54" i="1"/>
  <c r="R511" i="1"/>
  <c r="R483" i="1"/>
  <c r="R603" i="1"/>
  <c r="R612" i="1"/>
  <c r="R621" i="1"/>
  <c r="R159" i="1"/>
  <c r="R117" i="1"/>
  <c r="R96" i="1"/>
  <c r="R312" i="1"/>
  <c r="R38" i="1"/>
  <c r="R155" i="1"/>
  <c r="R186" i="1"/>
  <c r="R423" i="1"/>
  <c r="R379" i="1"/>
  <c r="R69" i="1"/>
  <c r="R31" i="1"/>
  <c r="R244" i="1"/>
  <c r="R351" i="1"/>
  <c r="R178" i="1"/>
  <c r="R63" i="1"/>
  <c r="R35" i="1"/>
  <c r="R393" i="1"/>
  <c r="R143" i="1"/>
  <c r="R350" i="1"/>
  <c r="R32" i="1"/>
  <c r="R232" i="1"/>
  <c r="R163" i="1"/>
  <c r="R102" i="1"/>
  <c r="R122" i="1"/>
  <c r="R71" i="1"/>
  <c r="R311" i="1"/>
  <c r="R565" i="1"/>
  <c r="R684" i="1"/>
  <c r="R538" i="1"/>
  <c r="R588" i="1"/>
  <c r="R654" i="1"/>
  <c r="R649" i="1"/>
  <c r="R144" i="1"/>
  <c r="R403" i="1"/>
  <c r="R530" i="1"/>
  <c r="R646" i="1"/>
  <c r="R535" i="1"/>
  <c r="R264" i="1"/>
  <c r="R291" i="1"/>
  <c r="R476" i="1"/>
  <c r="R617" i="1"/>
  <c r="R384" i="1"/>
  <c r="R190" i="1"/>
  <c r="R618" i="1"/>
  <c r="R539" i="1"/>
  <c r="R560" i="1"/>
  <c r="R668" i="1"/>
  <c r="R579" i="1"/>
  <c r="R631" i="1"/>
  <c r="R613" i="1"/>
  <c r="R607" i="1"/>
  <c r="R715" i="1"/>
  <c r="R216" i="1"/>
  <c r="R306" i="1"/>
  <c r="R651" i="1"/>
  <c r="R690" i="1"/>
  <c r="R659" i="1"/>
  <c r="R522" i="1"/>
  <c r="R344" i="1"/>
  <c r="R263" i="1"/>
  <c r="R82" i="1"/>
  <c r="R342" i="1"/>
  <c r="R548" i="1"/>
  <c r="R545" i="1"/>
  <c r="R600" i="1"/>
  <c r="R622" i="1"/>
  <c r="R371" i="1"/>
  <c r="R260" i="1"/>
  <c r="R488" i="1"/>
  <c r="R270" i="1"/>
  <c r="R81" i="1"/>
  <c r="R167" i="1"/>
  <c r="R422" i="1"/>
  <c r="R427" i="1"/>
  <c r="R457" i="1"/>
  <c r="R456" i="1"/>
  <c r="R480" i="1"/>
  <c r="R455" i="1"/>
  <c r="R238" i="1"/>
  <c r="R133" i="1"/>
  <c r="R115" i="1"/>
  <c r="R380" i="1"/>
  <c r="R243" i="1"/>
  <c r="R599" i="1"/>
  <c r="R493" i="1"/>
  <c r="R595" i="1"/>
  <c r="R504" i="1"/>
  <c r="R556" i="1"/>
  <c r="R644" i="1"/>
  <c r="R611" i="1"/>
  <c r="R436" i="1"/>
  <c r="R183" i="1"/>
  <c r="R204" i="1"/>
  <c r="R134" i="1"/>
  <c r="R48" i="1"/>
  <c r="R59" i="1"/>
  <c r="R37" i="1"/>
  <c r="R23" i="1"/>
  <c r="R75" i="1"/>
  <c r="R67" i="1"/>
  <c r="R95" i="1"/>
  <c r="R467" i="1"/>
  <c r="R22" i="1"/>
  <c r="R443" i="1"/>
  <c r="R84" i="1"/>
  <c r="R439" i="1"/>
  <c r="R641" i="1"/>
  <c r="R405" i="1"/>
  <c r="R425" i="1"/>
  <c r="R354" i="1"/>
  <c r="R486" i="1"/>
  <c r="R573" i="1"/>
  <c r="R34" i="1"/>
  <c r="R280" i="1"/>
  <c r="R448" i="1"/>
  <c r="R348" i="1"/>
  <c r="R173" i="1"/>
  <c r="R275" i="1"/>
  <c r="R534" i="1"/>
  <c r="R513" i="1"/>
  <c r="R385" i="1"/>
  <c r="R624" i="1"/>
  <c r="R590" i="1"/>
  <c r="R620" i="1"/>
  <c r="R509" i="1"/>
  <c r="R56" i="1"/>
  <c r="R70" i="1"/>
  <c r="R119" i="1"/>
  <c r="R373" i="1"/>
  <c r="R338" i="1"/>
  <c r="R195" i="1"/>
  <c r="R477" i="1"/>
  <c r="R524" i="1"/>
  <c r="R364" i="1"/>
  <c r="R168" i="1"/>
  <c r="R281" i="1"/>
  <c r="R407" i="1"/>
  <c r="R94" i="1"/>
  <c r="R139" i="1"/>
  <c r="R188" i="1"/>
  <c r="R346" i="1"/>
  <c r="R86" i="1"/>
  <c r="R318" i="1"/>
  <c r="R284" i="1"/>
  <c r="R531" i="1"/>
  <c r="R449" i="1"/>
  <c r="R349" i="1"/>
  <c r="R157" i="1"/>
  <c r="R27" i="1"/>
  <c r="R409" i="1"/>
  <c r="R68" i="1"/>
  <c r="R50" i="1"/>
  <c r="R340" i="1"/>
  <c r="R440" i="1"/>
  <c r="R451" i="1"/>
  <c r="R426" i="1"/>
  <c r="R529" i="1"/>
  <c r="R317" i="1"/>
  <c r="R256" i="1"/>
  <c r="R500" i="1"/>
  <c r="R632" i="1"/>
  <c r="R441" i="1"/>
  <c r="R9" i="1"/>
  <c r="R389" i="1"/>
  <c r="R218" i="1"/>
  <c r="R221" i="1"/>
  <c r="R226" i="1"/>
  <c r="R432" i="1"/>
  <c r="R321" i="1"/>
  <c r="R399" i="1"/>
  <c r="R417" i="1"/>
  <c r="R525" i="1"/>
  <c r="R492" i="1"/>
  <c r="R363" i="1"/>
  <c r="R211" i="1"/>
  <c r="R16" i="1"/>
  <c r="R213" i="1"/>
  <c r="R47" i="1"/>
  <c r="R520" i="1"/>
  <c r="R585" i="1"/>
  <c r="R149" i="1"/>
  <c r="R172" i="1"/>
  <c r="R325" i="1"/>
  <c r="R7" i="1"/>
  <c r="R64" i="1"/>
  <c r="R470" i="1"/>
  <c r="R4" i="1"/>
  <c r="R169" i="1"/>
  <c r="R79" i="1"/>
  <c r="R458" i="1"/>
  <c r="R430" i="1"/>
  <c r="R473" i="1"/>
  <c r="R187" i="1"/>
  <c r="R336" i="1"/>
  <c r="R627" i="1"/>
  <c r="R164" i="1"/>
  <c r="R647" i="1"/>
  <c r="R666" i="1"/>
  <c r="R341" i="1"/>
  <c r="R635" i="1"/>
  <c r="R670" i="1"/>
  <c r="R601" i="1"/>
  <c r="R487" i="1"/>
  <c r="R638" i="1"/>
  <c r="R692" i="1"/>
  <c r="R655" i="1"/>
  <c r="R678" i="1"/>
  <c r="R713" i="1"/>
  <c r="R113" i="1"/>
  <c r="R685" i="1"/>
  <c r="R523" i="1"/>
  <c r="R675" i="1"/>
  <c r="R716" i="1"/>
  <c r="R680" i="1"/>
  <c r="R100" i="1"/>
  <c r="R583" i="1"/>
  <c r="R696" i="1"/>
  <c r="R657" i="1"/>
  <c r="R528" i="1"/>
  <c r="R418" i="1"/>
  <c r="R209" i="1"/>
  <c r="R720" i="1"/>
  <c r="R725" i="1"/>
  <c r="R161" i="1"/>
  <c r="R717" i="1"/>
  <c r="R404" i="1"/>
  <c r="R564" i="1"/>
  <c r="R726" i="1"/>
  <c r="R495" i="1"/>
  <c r="R52" i="1"/>
  <c r="R198" i="1"/>
  <c r="R411" i="1"/>
  <c r="R60" i="1"/>
  <c r="R359" i="1"/>
  <c r="R184" i="1"/>
  <c r="R101" i="1"/>
  <c r="R505" i="1"/>
  <c r="R335" i="1"/>
  <c r="R386" i="1"/>
  <c r="R242" i="1"/>
  <c r="R231" i="1"/>
  <c r="R177" i="1"/>
  <c r="R171" i="1"/>
  <c r="R466" i="1"/>
  <c r="R156" i="1"/>
  <c r="R434" i="1"/>
  <c r="R594" i="1"/>
  <c r="R518" i="1"/>
  <c r="R691" i="1"/>
  <c r="R228" i="1"/>
  <c r="R129" i="1"/>
  <c r="R12" i="1"/>
  <c r="R247" i="1"/>
  <c r="R202" i="1"/>
  <c r="R298" i="1"/>
  <c r="R491" i="1"/>
  <c r="R608" i="1"/>
  <c r="R519" i="1"/>
  <c r="R575" i="1"/>
  <c r="R667" i="1"/>
  <c r="R727" i="1"/>
  <c r="R689" i="1"/>
  <c r="R677" i="1"/>
  <c r="R700" i="1"/>
  <c r="R704" i="1"/>
  <c r="R637" i="1"/>
  <c r="R711" i="1"/>
  <c r="R147" i="1"/>
  <c r="R62" i="1"/>
  <c r="R554" i="1"/>
  <c r="R179" i="1"/>
  <c r="R472" i="1"/>
  <c r="R728" i="1"/>
  <c r="R484" i="1"/>
  <c r="R103" i="1"/>
  <c r="R648" i="1"/>
  <c r="R382" i="1"/>
  <c r="R481" i="1"/>
  <c r="R681" i="1"/>
  <c r="R582" i="1"/>
  <c r="R572" i="1"/>
  <c r="R661" i="1"/>
  <c r="R721" i="1"/>
  <c r="R706" i="1"/>
  <c r="R705" i="1"/>
  <c r="R642" i="1"/>
  <c r="R557" i="1"/>
  <c r="R671" i="1"/>
  <c r="R158" i="1"/>
  <c r="R141" i="1"/>
  <c r="R150" i="1"/>
  <c r="R24" i="1"/>
  <c r="R206" i="1"/>
  <c r="R205" i="1"/>
  <c r="R544" i="1"/>
  <c r="R210" i="1"/>
  <c r="R74" i="1"/>
  <c r="R36" i="1"/>
  <c r="R421" i="1"/>
  <c r="R546" i="1"/>
  <c r="R83" i="1"/>
  <c r="R645" i="1"/>
  <c r="R398" i="1"/>
  <c r="R269" i="1"/>
  <c r="R222" i="1"/>
  <c r="R108" i="1"/>
  <c r="R367" i="1"/>
  <c r="R39" i="1"/>
  <c r="R561" i="1"/>
  <c r="R616" i="1"/>
  <c r="R304" i="1"/>
  <c r="R6" i="1"/>
  <c r="R217" i="1"/>
  <c r="R18" i="1"/>
  <c r="R328" i="1"/>
  <c r="R162" i="1"/>
  <c r="R66" i="1"/>
  <c r="R503" i="1"/>
  <c r="R176" i="1"/>
  <c r="R452" i="1"/>
  <c r="R604" i="1"/>
  <c r="R660" i="1"/>
  <c r="R259" i="1"/>
  <c r="R323" i="1"/>
  <c r="R330" i="1"/>
  <c r="R279" i="1"/>
  <c r="R372" i="1"/>
  <c r="R507" i="1"/>
  <c r="R437" i="1"/>
  <c r="R374" i="1"/>
  <c r="R445" i="1"/>
  <c r="R240" i="1"/>
  <c r="R629" i="1"/>
  <c r="R482" i="1"/>
  <c r="R712" i="1"/>
  <c r="R550" i="1"/>
  <c r="R410" i="1"/>
  <c r="R697" i="1"/>
  <c r="R420" i="1"/>
  <c r="R574" i="1"/>
  <c r="R194" i="1"/>
  <c r="R633" i="1"/>
  <c r="R128" i="1"/>
  <c r="R361" i="1"/>
  <c r="R390" i="1"/>
  <c r="R297" i="1"/>
  <c r="R8" i="1"/>
  <c r="R114" i="1"/>
  <c r="R408" i="1"/>
  <c r="R287" i="1"/>
  <c r="R413" i="1"/>
  <c r="R397" i="1"/>
  <c r="R506" i="1"/>
  <c r="R395" i="1"/>
  <c r="R433" i="1"/>
  <c r="R463" i="1"/>
  <c r="R664" i="1"/>
  <c r="R368" i="1"/>
  <c r="R200" i="1"/>
  <c r="R19" i="1"/>
  <c r="R461" i="1"/>
  <c r="R549" i="1"/>
  <c r="R446" i="1"/>
  <c r="R255" i="1"/>
  <c r="R251" i="1"/>
  <c r="R383" i="1"/>
  <c r="R245" i="1"/>
  <c r="R106" i="1"/>
  <c r="R98" i="1"/>
  <c r="R65" i="1"/>
  <c r="R540" i="1"/>
  <c r="R180" i="1"/>
  <c r="R592" i="1"/>
  <c r="R532" i="1"/>
  <c r="R580" i="1"/>
  <c r="R512" i="1"/>
  <c r="R494" i="1"/>
  <c r="R517" i="1"/>
  <c r="R628" i="1"/>
  <c r="R571" i="1"/>
  <c r="R552" i="1"/>
  <c r="R272" i="1"/>
  <c r="R360" i="1"/>
  <c r="R276" i="1"/>
  <c r="R479" i="1"/>
  <c r="R508" i="1"/>
  <c r="R559" i="1"/>
  <c r="R303" i="1"/>
  <c r="R478" i="1"/>
  <c r="R345" i="1"/>
  <c r="R61" i="1"/>
  <c r="R381" i="1"/>
  <c r="R91" i="1"/>
  <c r="R166" i="1"/>
  <c r="R329" i="1"/>
  <c r="R305" i="1"/>
  <c r="R148" i="1"/>
  <c r="R322" i="1"/>
  <c r="R316" i="1"/>
  <c r="R257" i="1"/>
  <c r="R140" i="1"/>
  <c r="R542" i="1"/>
  <c r="R606" i="1"/>
  <c r="R623" i="1"/>
  <c r="R501" i="1"/>
  <c r="R89" i="1"/>
  <c r="R337" i="1"/>
  <c r="R170" i="1"/>
  <c r="R219" i="1"/>
  <c r="R90" i="1"/>
  <c r="R165" i="1"/>
  <c r="R13" i="1"/>
  <c r="R78" i="1"/>
  <c r="R146" i="1"/>
  <c r="R136" i="1"/>
  <c r="R468" i="1"/>
  <c r="R358" i="1"/>
  <c r="R283" i="1"/>
  <c r="R124" i="1"/>
  <c r="R319" i="1"/>
  <c r="R125" i="1"/>
  <c r="R207" i="1"/>
  <c r="R339" i="1"/>
  <c r="R489" i="1"/>
  <c r="R309" i="1"/>
  <c r="R130" i="1"/>
  <c r="R415" i="1"/>
  <c r="R391" i="1"/>
  <c r="R118" i="1"/>
  <c r="R26" i="1"/>
  <c r="R25" i="1"/>
  <c r="R154" i="1"/>
  <c r="R719" i="1"/>
  <c r="R536" i="1"/>
  <c r="R688" i="1"/>
  <c r="R53" i="1"/>
  <c r="R121" i="1"/>
  <c r="R41" i="1"/>
  <c r="R142" i="1"/>
  <c r="R17" i="1"/>
  <c r="R10" i="1"/>
  <c r="R135" i="1"/>
  <c r="R55" i="1"/>
  <c r="R233" i="1"/>
  <c r="R333" i="1"/>
  <c r="R267" i="1"/>
  <c r="R99" i="1"/>
  <c r="R442" i="1"/>
  <c r="R553" i="1"/>
  <c r="R392" i="1"/>
  <c r="R568" i="1"/>
  <c r="R652" i="1"/>
  <c r="R558" i="1"/>
  <c r="R625" i="1"/>
  <c r="R324" i="1"/>
  <c r="R357" i="1"/>
  <c r="R327" i="1"/>
  <c r="R634" i="1"/>
  <c r="R331" i="1"/>
  <c r="R266" i="1"/>
  <c r="R414" i="1"/>
  <c r="R112" i="1"/>
  <c r="R189" i="1"/>
  <c r="R214" i="1"/>
  <c r="R428" i="1"/>
  <c r="R15" i="1"/>
  <c r="R366" i="1"/>
  <c r="R193" i="1"/>
  <c r="R246" i="1"/>
  <c r="R77" i="1"/>
  <c r="R332" i="1"/>
  <c r="R229" i="1"/>
  <c r="R299" i="1"/>
  <c r="R191" i="1"/>
  <c r="R584" i="1"/>
  <c r="R377" i="1"/>
  <c r="R394" i="1"/>
  <c r="R295" i="1"/>
  <c r="R643" i="1"/>
  <c r="R42" i="1"/>
  <c r="R591" i="1"/>
  <c r="R502" i="1"/>
  <c r="R485" i="1"/>
  <c r="R29" i="1"/>
  <c r="R687" i="1"/>
  <c r="R656" i="1"/>
  <c r="R220" i="1"/>
  <c r="R230" i="1"/>
  <c r="R562" i="1"/>
  <c r="R258" i="1"/>
  <c r="R438" i="1"/>
  <c r="R541" i="1"/>
  <c r="R567" i="1"/>
  <c r="R598" i="1"/>
  <c r="R181" i="1"/>
  <c r="R464" i="1"/>
  <c r="R578" i="1"/>
  <c r="R547" i="1"/>
  <c r="R401" i="1"/>
  <c r="R227" i="1"/>
  <c r="R490" i="1"/>
  <c r="R353" i="1"/>
  <c r="R626" i="1"/>
  <c r="R412" i="1"/>
  <c r="R707" i="1"/>
  <c r="R650" i="1"/>
  <c r="R708" i="1"/>
  <c r="R196" i="1"/>
  <c r="R570" i="1"/>
  <c r="R566" i="1"/>
  <c r="R679" i="1"/>
  <c r="R663" i="1"/>
  <c r="R609" i="1"/>
  <c r="R674" i="1"/>
  <c r="R676" i="1"/>
  <c r="R521" i="1"/>
  <c r="R693" i="1"/>
  <c r="R514" i="1"/>
  <c r="R701" i="1"/>
  <c r="R695" i="1"/>
  <c r="R320" i="1"/>
  <c r="R105" i="1"/>
  <c r="R362" i="1"/>
  <c r="R262" i="1"/>
  <c r="R116" i="1"/>
  <c r="R72" i="1"/>
  <c r="R137" i="1"/>
  <c r="R289" i="1"/>
  <c r="R469" i="1"/>
  <c r="R375" i="1"/>
  <c r="R123" i="1"/>
  <c r="R51" i="1"/>
  <c r="R285" i="1"/>
  <c r="R510" i="1"/>
  <c r="R268" i="1"/>
  <c r="R300" i="1"/>
  <c r="R273" i="1"/>
  <c r="R28" i="1"/>
  <c r="R388" i="1"/>
  <c r="R110" i="1"/>
  <c r="R334" i="1"/>
  <c r="R400" i="1"/>
  <c r="R343" i="1"/>
  <c r="R45" i="1"/>
  <c r="R665" i="1"/>
  <c r="R710" i="1"/>
  <c r="R694" i="1"/>
  <c r="R639" i="1"/>
  <c r="R465" i="1"/>
  <c r="R619" i="1"/>
  <c r="R683" i="1"/>
  <c r="R686" i="1"/>
  <c r="R672" i="1"/>
  <c r="R46" i="1"/>
  <c r="R475" i="1"/>
  <c r="R526" i="1"/>
  <c r="R724" i="1"/>
  <c r="R673" i="1"/>
  <c r="R301" i="1"/>
  <c r="R581" i="1"/>
  <c r="R471" i="1"/>
  <c r="R718" i="1"/>
  <c r="R723" i="1"/>
  <c r="R714" i="1"/>
  <c r="R576" i="1"/>
  <c r="R702" i="1"/>
  <c r="R630" i="1"/>
  <c r="R709" i="1"/>
  <c r="R610" i="1"/>
  <c r="R698" i="1"/>
  <c r="R722" i="1"/>
  <c r="R537" i="1"/>
  <c r="R292" i="1"/>
  <c r="R555" i="1"/>
  <c r="R126" i="1"/>
  <c r="R111" i="1"/>
  <c r="R58" i="1"/>
  <c r="R3" i="1"/>
  <c r="R310" i="1"/>
  <c r="R586" i="1"/>
  <c r="R145" i="1"/>
  <c r="R132" i="1"/>
  <c r="R174" i="1"/>
  <c r="R699" i="1"/>
  <c r="R703" i="1"/>
  <c r="R234" i="1"/>
  <c r="R653" i="1"/>
  <c r="R290" i="1"/>
  <c r="Q49" i="1"/>
  <c r="Q88" i="1"/>
  <c r="Q11" i="1"/>
  <c r="Q43" i="1"/>
  <c r="Q131" i="1"/>
  <c r="Q151" i="1"/>
  <c r="Q153" i="1"/>
  <c r="Q104" i="1"/>
  <c r="Q296" i="1"/>
  <c r="Q658" i="1"/>
  <c r="Q516" i="1"/>
  <c r="Q294" i="1"/>
  <c r="Q543" i="1"/>
  <c r="Q236" i="1"/>
  <c r="Q444" i="1"/>
  <c r="Q419" i="1"/>
  <c r="Q396" i="1"/>
  <c r="Q352" i="1"/>
  <c r="Q593" i="1"/>
  <c r="Q615" i="1"/>
  <c r="Q127" i="1"/>
  <c r="Q376" i="1"/>
  <c r="Q313" i="1"/>
  <c r="Q355" i="1"/>
  <c r="Q76" i="1"/>
  <c r="Q406" i="1"/>
  <c r="Q302" i="1"/>
  <c r="Q73" i="1"/>
  <c r="Q160" i="1"/>
  <c r="Q92" i="1"/>
  <c r="Q152" i="1"/>
  <c r="Q288" i="1"/>
  <c r="Q429" i="1"/>
  <c r="Q253" i="1"/>
  <c r="Q241" i="1"/>
  <c r="Q365" i="1"/>
  <c r="Q107" i="1"/>
  <c r="Q286" i="1"/>
  <c r="Q527" i="1"/>
  <c r="Q597" i="1"/>
  <c r="Q614" i="1"/>
  <c r="Q223" i="1"/>
  <c r="Q605" i="1"/>
  <c r="Q138" i="1"/>
  <c r="Q347" i="1"/>
  <c r="Q109" i="1"/>
  <c r="Q307" i="1"/>
  <c r="Q460" i="1"/>
  <c r="Q314" i="1"/>
  <c r="Q237" i="1"/>
  <c r="Q447" i="1"/>
  <c r="Q450" i="1"/>
  <c r="Q499" i="1"/>
  <c r="Q474" i="1"/>
  <c r="Q315" i="1"/>
  <c r="Q496" i="1"/>
  <c r="Q462" i="1"/>
  <c r="Q208" i="1"/>
  <c r="Q498" i="1"/>
  <c r="Q636" i="1"/>
  <c r="Q551" i="1"/>
  <c r="Q662" i="1"/>
  <c r="Q596" i="1"/>
  <c r="Q669" i="1"/>
  <c r="Q378" i="1"/>
  <c r="Q431" i="1"/>
  <c r="Q402" i="1"/>
  <c r="Q224" i="1"/>
  <c r="Q278" i="1"/>
  <c r="Q192" i="1"/>
  <c r="Q44" i="1"/>
  <c r="Q80" i="1"/>
  <c r="Q265" i="1"/>
  <c r="Q261" i="1"/>
  <c r="Q282" i="1"/>
  <c r="Q454" i="1"/>
  <c r="Q239" i="1"/>
  <c r="Q20" i="1"/>
  <c r="Q57" i="1"/>
  <c r="Q203" i="1"/>
  <c r="Q235" i="1"/>
  <c r="Q587" i="1"/>
  <c r="Q30" i="1"/>
  <c r="Q250" i="1"/>
  <c r="Q97" i="1"/>
  <c r="Q199" i="1"/>
  <c r="Q175" i="1"/>
  <c r="Q387" i="1"/>
  <c r="Q416" i="1"/>
  <c r="Q87" i="1"/>
  <c r="Q356" i="1"/>
  <c r="Q308" i="1"/>
  <c r="Q182" i="1"/>
  <c r="Q85" i="1"/>
  <c r="Q271" i="1"/>
  <c r="Q293" i="1"/>
  <c r="Q369" i="1"/>
  <c r="Q569" i="1"/>
  <c r="Q197" i="1"/>
  <c r="Q602" i="1"/>
  <c r="Q215" i="1"/>
  <c r="Q2" i="1"/>
  <c r="Q459" i="1"/>
  <c r="Q274" i="1"/>
  <c r="Q497" i="1"/>
  <c r="Q225" i="1"/>
  <c r="Q370" i="1"/>
  <c r="Q682" i="1"/>
  <c r="Q252" i="1"/>
  <c r="Q254" i="1"/>
  <c r="Q577" i="1"/>
  <c r="Q589" i="1"/>
  <c r="Q424" i="1"/>
  <c r="Q40" i="1"/>
  <c r="Q249" i="1"/>
  <c r="Q640" i="1"/>
  <c r="Q515" i="1"/>
  <c r="Q201" i="1"/>
  <c r="Q93" i="1"/>
  <c r="Q185" i="1"/>
  <c r="Q5" i="1"/>
  <c r="Q14" i="1"/>
  <c r="Q435" i="1"/>
  <c r="Q326" i="1"/>
  <c r="Q212" i="1"/>
  <c r="Q248" i="1"/>
  <c r="Q120" i="1"/>
  <c r="Q533" i="1"/>
  <c r="Q277" i="1"/>
  <c r="Q21" i="1"/>
  <c r="Q33" i="1"/>
  <c r="Q563" i="1"/>
  <c r="Q453" i="1"/>
  <c r="Q54" i="1"/>
  <c r="Q511" i="1"/>
  <c r="Q483" i="1"/>
  <c r="Q603" i="1"/>
  <c r="Q612" i="1"/>
  <c r="Q621" i="1"/>
  <c r="Q159" i="1"/>
  <c r="Q117" i="1"/>
  <c r="Q96" i="1"/>
  <c r="Q312" i="1"/>
  <c r="Q38" i="1"/>
  <c r="Q155" i="1"/>
  <c r="Q186" i="1"/>
  <c r="Q423" i="1"/>
  <c r="Q379" i="1"/>
  <c r="Q69" i="1"/>
  <c r="Q31" i="1"/>
  <c r="Q244" i="1"/>
  <c r="Q351" i="1"/>
  <c r="Q178" i="1"/>
  <c r="Q63" i="1"/>
  <c r="Q35" i="1"/>
  <c r="Q393" i="1"/>
  <c r="Q143" i="1"/>
  <c r="Q350" i="1"/>
  <c r="Q32" i="1"/>
  <c r="Q232" i="1"/>
  <c r="Q163" i="1"/>
  <c r="Q102" i="1"/>
  <c r="Q122" i="1"/>
  <c r="Q71" i="1"/>
  <c r="Q311" i="1"/>
  <c r="Q565" i="1"/>
  <c r="Q684" i="1"/>
  <c r="Q538" i="1"/>
  <c r="Q588" i="1"/>
  <c r="Q654" i="1"/>
  <c r="Q649" i="1"/>
  <c r="Q144" i="1"/>
  <c r="Q403" i="1"/>
  <c r="Q530" i="1"/>
  <c r="Q646" i="1"/>
  <c r="Q535" i="1"/>
  <c r="Q264" i="1"/>
  <c r="Q291" i="1"/>
  <c r="Q476" i="1"/>
  <c r="Q617" i="1"/>
  <c r="Q384" i="1"/>
  <c r="Q190" i="1"/>
  <c r="Q618" i="1"/>
  <c r="Q539" i="1"/>
  <c r="Q560" i="1"/>
  <c r="Q668" i="1"/>
  <c r="Q579" i="1"/>
  <c r="Q631" i="1"/>
  <c r="Q613" i="1"/>
  <c r="Q607" i="1"/>
  <c r="Q715" i="1"/>
  <c r="Q216" i="1"/>
  <c r="Q306" i="1"/>
  <c r="Q651" i="1"/>
  <c r="Q690" i="1"/>
  <c r="Q659" i="1"/>
  <c r="Q522" i="1"/>
  <c r="Q344" i="1"/>
  <c r="Q263" i="1"/>
  <c r="Q82" i="1"/>
  <c r="Q342" i="1"/>
  <c r="Q548" i="1"/>
  <c r="Q545" i="1"/>
  <c r="Q600" i="1"/>
  <c r="Q622" i="1"/>
  <c r="Q371" i="1"/>
  <c r="Q260" i="1"/>
  <c r="Q488" i="1"/>
  <c r="Q270" i="1"/>
  <c r="Q81" i="1"/>
  <c r="Q167" i="1"/>
  <c r="Q422" i="1"/>
  <c r="Q427" i="1"/>
  <c r="Q457" i="1"/>
  <c r="Q456" i="1"/>
  <c r="Q480" i="1"/>
  <c r="Q455" i="1"/>
  <c r="Q238" i="1"/>
  <c r="Q133" i="1"/>
  <c r="Q115" i="1"/>
  <c r="Q380" i="1"/>
  <c r="Q243" i="1"/>
  <c r="Q599" i="1"/>
  <c r="Q493" i="1"/>
  <c r="Q595" i="1"/>
  <c r="Q504" i="1"/>
  <c r="Q556" i="1"/>
  <c r="Q644" i="1"/>
  <c r="Q611" i="1"/>
  <c r="Q436" i="1"/>
  <c r="Q183" i="1"/>
  <c r="Q204" i="1"/>
  <c r="Q134" i="1"/>
  <c r="Q48" i="1"/>
  <c r="Q59" i="1"/>
  <c r="Q37" i="1"/>
  <c r="Q23" i="1"/>
  <c r="Q75" i="1"/>
  <c r="Q67" i="1"/>
  <c r="Q95" i="1"/>
  <c r="Q467" i="1"/>
  <c r="Q22" i="1"/>
  <c r="Q443" i="1"/>
  <c r="Q84" i="1"/>
  <c r="Q439" i="1"/>
  <c r="Q641" i="1"/>
  <c r="Q405" i="1"/>
  <c r="Q425" i="1"/>
  <c r="Q354" i="1"/>
  <c r="Q486" i="1"/>
  <c r="Q573" i="1"/>
  <c r="Q34" i="1"/>
  <c r="Q280" i="1"/>
  <c r="Q448" i="1"/>
  <c r="Q348" i="1"/>
  <c r="Q173" i="1"/>
  <c r="Q275" i="1"/>
  <c r="Q534" i="1"/>
  <c r="Q513" i="1"/>
  <c r="Q385" i="1"/>
  <c r="Q624" i="1"/>
  <c r="Q590" i="1"/>
  <c r="Q620" i="1"/>
  <c r="Q509" i="1"/>
  <c r="Q56" i="1"/>
  <c r="Q70" i="1"/>
  <c r="Q119" i="1"/>
  <c r="Q373" i="1"/>
  <c r="Q338" i="1"/>
  <c r="Q195" i="1"/>
  <c r="Q477" i="1"/>
  <c r="Q524" i="1"/>
  <c r="Q364" i="1"/>
  <c r="Q168" i="1"/>
  <c r="Q281" i="1"/>
  <c r="Q407" i="1"/>
  <c r="Q94" i="1"/>
  <c r="Q139" i="1"/>
  <c r="Q188" i="1"/>
  <c r="Q346" i="1"/>
  <c r="Q86" i="1"/>
  <c r="Q318" i="1"/>
  <c r="Q284" i="1"/>
  <c r="Q531" i="1"/>
  <c r="Q449" i="1"/>
  <c r="Q349" i="1"/>
  <c r="Q157" i="1"/>
  <c r="Q27" i="1"/>
  <c r="Q409" i="1"/>
  <c r="Q68" i="1"/>
  <c r="Q50" i="1"/>
  <c r="Q340" i="1"/>
  <c r="Q440" i="1"/>
  <c r="Q451" i="1"/>
  <c r="Q426" i="1"/>
  <c r="Q529" i="1"/>
  <c r="Q317" i="1"/>
  <c r="Q256" i="1"/>
  <c r="Q500" i="1"/>
  <c r="Q632" i="1"/>
  <c r="Q441" i="1"/>
  <c r="Q9" i="1"/>
  <c r="Q389" i="1"/>
  <c r="Q218" i="1"/>
  <c r="Q221" i="1"/>
  <c r="Q226" i="1"/>
  <c r="Q432" i="1"/>
  <c r="Q321" i="1"/>
  <c r="Q399" i="1"/>
  <c r="Q417" i="1"/>
  <c r="Q525" i="1"/>
  <c r="Q492" i="1"/>
  <c r="Q363" i="1"/>
  <c r="Q211" i="1"/>
  <c r="Q16" i="1"/>
  <c r="Q213" i="1"/>
  <c r="Q47" i="1"/>
  <c r="Q520" i="1"/>
  <c r="Q585" i="1"/>
  <c r="Q149" i="1"/>
  <c r="Q172" i="1"/>
  <c r="Q325" i="1"/>
  <c r="Q7" i="1"/>
  <c r="Q64" i="1"/>
  <c r="Q470" i="1"/>
  <c r="Q4" i="1"/>
  <c r="Q169" i="1"/>
  <c r="Q79" i="1"/>
  <c r="Q458" i="1"/>
  <c r="Q430" i="1"/>
  <c r="Q473" i="1"/>
  <c r="Q187" i="1"/>
  <c r="Q336" i="1"/>
  <c r="Q627" i="1"/>
  <c r="Q164" i="1"/>
  <c r="Q647" i="1"/>
  <c r="Q666" i="1"/>
  <c r="Q341" i="1"/>
  <c r="Q635" i="1"/>
  <c r="Q670" i="1"/>
  <c r="Q601" i="1"/>
  <c r="Q487" i="1"/>
  <c r="Q638" i="1"/>
  <c r="Q692" i="1"/>
  <c r="Q655" i="1"/>
  <c r="Q678" i="1"/>
  <c r="Q713" i="1"/>
  <c r="Q113" i="1"/>
  <c r="Q685" i="1"/>
  <c r="Q523" i="1"/>
  <c r="Q675" i="1"/>
  <c r="Q716" i="1"/>
  <c r="Q680" i="1"/>
  <c r="Q100" i="1"/>
  <c r="Q583" i="1"/>
  <c r="Q696" i="1"/>
  <c r="Q657" i="1"/>
  <c r="Q528" i="1"/>
  <c r="Q418" i="1"/>
  <c r="Q209" i="1"/>
  <c r="Q720" i="1"/>
  <c r="Q725" i="1"/>
  <c r="Q161" i="1"/>
  <c r="Q717" i="1"/>
  <c r="Q404" i="1"/>
  <c r="Q564" i="1"/>
  <c r="Q726" i="1"/>
  <c r="Q495" i="1"/>
  <c r="Q52" i="1"/>
  <c r="Q198" i="1"/>
  <c r="Q411" i="1"/>
  <c r="Q60" i="1"/>
  <c r="Q359" i="1"/>
  <c r="Q184" i="1"/>
  <c r="Q101" i="1"/>
  <c r="Q505" i="1"/>
  <c r="Q335" i="1"/>
  <c r="Q386" i="1"/>
  <c r="Q242" i="1"/>
  <c r="Q231" i="1"/>
  <c r="Q177" i="1"/>
  <c r="Q171" i="1"/>
  <c r="Q466" i="1"/>
  <c r="Q156" i="1"/>
  <c r="Q434" i="1"/>
  <c r="Q594" i="1"/>
  <c r="Q518" i="1"/>
  <c r="Q691" i="1"/>
  <c r="Q228" i="1"/>
  <c r="Q129" i="1"/>
  <c r="Q12" i="1"/>
  <c r="Q247" i="1"/>
  <c r="Q202" i="1"/>
  <c r="Q298" i="1"/>
  <c r="Q491" i="1"/>
  <c r="Q608" i="1"/>
  <c r="Q519" i="1"/>
  <c r="Q575" i="1"/>
  <c r="Q667" i="1"/>
  <c r="Q727" i="1"/>
  <c r="Q689" i="1"/>
  <c r="Q677" i="1"/>
  <c r="Q700" i="1"/>
  <c r="Q704" i="1"/>
  <c r="Q637" i="1"/>
  <c r="Q711" i="1"/>
  <c r="Q147" i="1"/>
  <c r="Q62" i="1"/>
  <c r="Q554" i="1"/>
  <c r="Q179" i="1"/>
  <c r="Q472" i="1"/>
  <c r="Q728" i="1"/>
  <c r="Q484" i="1"/>
  <c r="Q103" i="1"/>
  <c r="Q648" i="1"/>
  <c r="Q382" i="1"/>
  <c r="Q481" i="1"/>
  <c r="Q681" i="1"/>
  <c r="Q582" i="1"/>
  <c r="Q572" i="1"/>
  <c r="Q661" i="1"/>
  <c r="Q721" i="1"/>
  <c r="Q706" i="1"/>
  <c r="Q705" i="1"/>
  <c r="Q642" i="1"/>
  <c r="Q557" i="1"/>
  <c r="Q671" i="1"/>
  <c r="Q158" i="1"/>
  <c r="Q141" i="1"/>
  <c r="Q150" i="1"/>
  <c r="Q24" i="1"/>
  <c r="Q206" i="1"/>
  <c r="Q205" i="1"/>
  <c r="Q544" i="1"/>
  <c r="Q210" i="1"/>
  <c r="Q74" i="1"/>
  <c r="Q36" i="1"/>
  <c r="Q421" i="1"/>
  <c r="Q546" i="1"/>
  <c r="Q83" i="1"/>
  <c r="Q645" i="1"/>
  <c r="Q398" i="1"/>
  <c r="Q269" i="1"/>
  <c r="Q222" i="1"/>
  <c r="Q108" i="1"/>
  <c r="Q367" i="1"/>
  <c r="Q39" i="1"/>
  <c r="Q561" i="1"/>
  <c r="Q616" i="1"/>
  <c r="Q304" i="1"/>
  <c r="Q6" i="1"/>
  <c r="Q217" i="1"/>
  <c r="Q18" i="1"/>
  <c r="Q328" i="1"/>
  <c r="Q162" i="1"/>
  <c r="Q66" i="1"/>
  <c r="Q503" i="1"/>
  <c r="Q176" i="1"/>
  <c r="Q452" i="1"/>
  <c r="Q604" i="1"/>
  <c r="Q660" i="1"/>
  <c r="Q259" i="1"/>
  <c r="Q323" i="1"/>
  <c r="Q330" i="1"/>
  <c r="Q279" i="1"/>
  <c r="Q372" i="1"/>
  <c r="Q507" i="1"/>
  <c r="Q437" i="1"/>
  <c r="Q374" i="1"/>
  <c r="Q445" i="1"/>
  <c r="Q240" i="1"/>
  <c r="Q629" i="1"/>
  <c r="Q482" i="1"/>
  <c r="Q712" i="1"/>
  <c r="Q550" i="1"/>
  <c r="Q410" i="1"/>
  <c r="Q697" i="1"/>
  <c r="Q420" i="1"/>
  <c r="Q574" i="1"/>
  <c r="Q194" i="1"/>
  <c r="Q633" i="1"/>
  <c r="Q128" i="1"/>
  <c r="Q361" i="1"/>
  <c r="Q390" i="1"/>
  <c r="Q297" i="1"/>
  <c r="Q8" i="1"/>
  <c r="Q114" i="1"/>
  <c r="Q408" i="1"/>
  <c r="Q287" i="1"/>
  <c r="Q413" i="1"/>
  <c r="Q397" i="1"/>
  <c r="Q506" i="1"/>
  <c r="Q395" i="1"/>
  <c r="Q433" i="1"/>
  <c r="Q463" i="1"/>
  <c r="Q664" i="1"/>
  <c r="Q368" i="1"/>
  <c r="Q200" i="1"/>
  <c r="Q19" i="1"/>
  <c r="Q461" i="1"/>
  <c r="Q549" i="1"/>
  <c r="Q446" i="1"/>
  <c r="Q255" i="1"/>
  <c r="Q251" i="1"/>
  <c r="Q383" i="1"/>
  <c r="Q245" i="1"/>
  <c r="Q106" i="1"/>
  <c r="Q98" i="1"/>
  <c r="Q65" i="1"/>
  <c r="Q540" i="1"/>
  <c r="Q180" i="1"/>
  <c r="Q592" i="1"/>
  <c r="Q532" i="1"/>
  <c r="Q580" i="1"/>
  <c r="Q512" i="1"/>
  <c r="Q494" i="1"/>
  <c r="Q517" i="1"/>
  <c r="Q628" i="1"/>
  <c r="Q571" i="1"/>
  <c r="Q552" i="1"/>
  <c r="Q272" i="1"/>
  <c r="Q360" i="1"/>
  <c r="Q276" i="1"/>
  <c r="Q479" i="1"/>
  <c r="Q508" i="1"/>
  <c r="Q559" i="1"/>
  <c r="Q303" i="1"/>
  <c r="Q478" i="1"/>
  <c r="Q345" i="1"/>
  <c r="Q61" i="1"/>
  <c r="Q381" i="1"/>
  <c r="Q91" i="1"/>
  <c r="Q166" i="1"/>
  <c r="Q329" i="1"/>
  <c r="Q305" i="1"/>
  <c r="Q148" i="1"/>
  <c r="Q322" i="1"/>
  <c r="Q316" i="1"/>
  <c r="Q257" i="1"/>
  <c r="Q140" i="1"/>
  <c r="Q542" i="1"/>
  <c r="Q606" i="1"/>
  <c r="Q623" i="1"/>
  <c r="Q501" i="1"/>
  <c r="Q89" i="1"/>
  <c r="Q337" i="1"/>
  <c r="Q170" i="1"/>
  <c r="Q219" i="1"/>
  <c r="Q90" i="1"/>
  <c r="Q165" i="1"/>
  <c r="Q13" i="1"/>
  <c r="Q78" i="1"/>
  <c r="Q146" i="1"/>
  <c r="Q136" i="1"/>
  <c r="Q468" i="1"/>
  <c r="Q358" i="1"/>
  <c r="Q283" i="1"/>
  <c r="Q124" i="1"/>
  <c r="Q319" i="1"/>
  <c r="Q125" i="1"/>
  <c r="Q207" i="1"/>
  <c r="Q339" i="1"/>
  <c r="Q489" i="1"/>
  <c r="Q309" i="1"/>
  <c r="Q130" i="1"/>
  <c r="Q415" i="1"/>
  <c r="Q391" i="1"/>
  <c r="Q118" i="1"/>
  <c r="Q26" i="1"/>
  <c r="Q25" i="1"/>
  <c r="Q154" i="1"/>
  <c r="Q719" i="1"/>
  <c r="Q536" i="1"/>
  <c r="Q688" i="1"/>
  <c r="Q53" i="1"/>
  <c r="Q121" i="1"/>
  <c r="Q41" i="1"/>
  <c r="Q142" i="1"/>
  <c r="Q17" i="1"/>
  <c r="Q10" i="1"/>
  <c r="Q135" i="1"/>
  <c r="Q55" i="1"/>
  <c r="Q233" i="1"/>
  <c r="Q333" i="1"/>
  <c r="Q267" i="1"/>
  <c r="Q99" i="1"/>
  <c r="Q442" i="1"/>
  <c r="Q553" i="1"/>
  <c r="Q392" i="1"/>
  <c r="Q568" i="1"/>
  <c r="Q652" i="1"/>
  <c r="Q558" i="1"/>
  <c r="Q625" i="1"/>
  <c r="Q324" i="1"/>
  <c r="Q357" i="1"/>
  <c r="Q327" i="1"/>
  <c r="Q634" i="1"/>
  <c r="Q331" i="1"/>
  <c r="Q266" i="1"/>
  <c r="Q414" i="1"/>
  <c r="Q112" i="1"/>
  <c r="Q189" i="1"/>
  <c r="Q214" i="1"/>
  <c r="Q428" i="1"/>
  <c r="Q15" i="1"/>
  <c r="Q366" i="1"/>
  <c r="Q193" i="1"/>
  <c r="Q246" i="1"/>
  <c r="Q77" i="1"/>
  <c r="Q332" i="1"/>
  <c r="Q229" i="1"/>
  <c r="Q299" i="1"/>
  <c r="Q191" i="1"/>
  <c r="Q584" i="1"/>
  <c r="Q377" i="1"/>
  <c r="Q394" i="1"/>
  <c r="Q295" i="1"/>
  <c r="Q643" i="1"/>
  <c r="Q42" i="1"/>
  <c r="Q591" i="1"/>
  <c r="Q502" i="1"/>
  <c r="Q485" i="1"/>
  <c r="Q29" i="1"/>
  <c r="Q687" i="1"/>
  <c r="Q656" i="1"/>
  <c r="Q220" i="1"/>
  <c r="Q230" i="1"/>
  <c r="Q562" i="1"/>
  <c r="Q258" i="1"/>
  <c r="Q438" i="1"/>
  <c r="Q541" i="1"/>
  <c r="Q567" i="1"/>
  <c r="Q598" i="1"/>
  <c r="Q181" i="1"/>
  <c r="Q464" i="1"/>
  <c r="Q578" i="1"/>
  <c r="Q547" i="1"/>
  <c r="Q401" i="1"/>
  <c r="Q227" i="1"/>
  <c r="Q490" i="1"/>
  <c r="Q353" i="1"/>
  <c r="Q626" i="1"/>
  <c r="Q412" i="1"/>
  <c r="Q707" i="1"/>
  <c r="Q650" i="1"/>
  <c r="Q708" i="1"/>
  <c r="Q196" i="1"/>
  <c r="Q570" i="1"/>
  <c r="Q566" i="1"/>
  <c r="Q679" i="1"/>
  <c r="Q663" i="1"/>
  <c r="Q609" i="1"/>
  <c r="Q674" i="1"/>
  <c r="Q676" i="1"/>
  <c r="Q521" i="1"/>
  <c r="Q693" i="1"/>
  <c r="Q514" i="1"/>
  <c r="Q701" i="1"/>
  <c r="Q695" i="1"/>
  <c r="Q320" i="1"/>
  <c r="Q105" i="1"/>
  <c r="Q362" i="1"/>
  <c r="Q262" i="1"/>
  <c r="Q116" i="1"/>
  <c r="Q72" i="1"/>
  <c r="Q137" i="1"/>
  <c r="Q289" i="1"/>
  <c r="Q469" i="1"/>
  <c r="Q375" i="1"/>
  <c r="Q123" i="1"/>
  <c r="Q51" i="1"/>
  <c r="Q285" i="1"/>
  <c r="Q510" i="1"/>
  <c r="Q268" i="1"/>
  <c r="Q300" i="1"/>
  <c r="Q273" i="1"/>
  <c r="Q28" i="1"/>
  <c r="Q388" i="1"/>
  <c r="Q110" i="1"/>
  <c r="Q334" i="1"/>
  <c r="Q400" i="1"/>
  <c r="Q343" i="1"/>
  <c r="Q45" i="1"/>
  <c r="Q665" i="1"/>
  <c r="Q710" i="1"/>
  <c r="Q694" i="1"/>
  <c r="Q639" i="1"/>
  <c r="Q465" i="1"/>
  <c r="Q619" i="1"/>
  <c r="Q683" i="1"/>
  <c r="Q686" i="1"/>
  <c r="Q672" i="1"/>
  <c r="Q46" i="1"/>
  <c r="Q475" i="1"/>
  <c r="Q526" i="1"/>
  <c r="Q724" i="1"/>
  <c r="Q673" i="1"/>
  <c r="Q301" i="1"/>
  <c r="Q581" i="1"/>
  <c r="Q471" i="1"/>
  <c r="Q718" i="1"/>
  <c r="Q723" i="1"/>
  <c r="Q714" i="1"/>
  <c r="Q576" i="1"/>
  <c r="Q702" i="1"/>
  <c r="Q630" i="1"/>
  <c r="Q709" i="1"/>
  <c r="Q610" i="1"/>
  <c r="Q698" i="1"/>
  <c r="Q722" i="1"/>
  <c r="Q537" i="1"/>
  <c r="Q292" i="1"/>
  <c r="Q555" i="1"/>
  <c r="Q126" i="1"/>
  <c r="Q111" i="1"/>
  <c r="Q58" i="1"/>
  <c r="Q3" i="1"/>
  <c r="Q310" i="1"/>
  <c r="Q586" i="1"/>
  <c r="Q145" i="1"/>
  <c r="Q132" i="1"/>
  <c r="Q174" i="1"/>
  <c r="Q699" i="1"/>
  <c r="Q703" i="1"/>
  <c r="Q234" i="1"/>
  <c r="Q653" i="1"/>
  <c r="Q290" i="1"/>
  <c r="P49" i="1"/>
  <c r="P88" i="1"/>
  <c r="P11" i="1"/>
  <c r="P43" i="1"/>
  <c r="P131" i="1"/>
  <c r="P151" i="1"/>
  <c r="P153" i="1"/>
  <c r="P104" i="1"/>
  <c r="P296" i="1"/>
  <c r="P658" i="1"/>
  <c r="P516" i="1"/>
  <c r="P294" i="1"/>
  <c r="P543" i="1"/>
  <c r="P236" i="1"/>
  <c r="P444" i="1"/>
  <c r="P419" i="1"/>
  <c r="P396" i="1"/>
  <c r="P352" i="1"/>
  <c r="P593" i="1"/>
  <c r="P615" i="1"/>
  <c r="P127" i="1"/>
  <c r="P376" i="1"/>
  <c r="P313" i="1"/>
  <c r="P355" i="1"/>
  <c r="P76" i="1"/>
  <c r="P406" i="1"/>
  <c r="P302" i="1"/>
  <c r="P73" i="1"/>
  <c r="P160" i="1"/>
  <c r="P92" i="1"/>
  <c r="P152" i="1"/>
  <c r="P288" i="1"/>
  <c r="P429" i="1"/>
  <c r="P253" i="1"/>
  <c r="P241" i="1"/>
  <c r="P365" i="1"/>
  <c r="P107" i="1"/>
  <c r="P286" i="1"/>
  <c r="P527" i="1"/>
  <c r="P597" i="1"/>
  <c r="P614" i="1"/>
  <c r="P223" i="1"/>
  <c r="P605" i="1"/>
  <c r="P138" i="1"/>
  <c r="P347" i="1"/>
  <c r="P109" i="1"/>
  <c r="P307" i="1"/>
  <c r="P460" i="1"/>
  <c r="P314" i="1"/>
  <c r="P237" i="1"/>
  <c r="P447" i="1"/>
  <c r="P450" i="1"/>
  <c r="P499" i="1"/>
  <c r="P474" i="1"/>
  <c r="P315" i="1"/>
  <c r="P496" i="1"/>
  <c r="P462" i="1"/>
  <c r="P208" i="1"/>
  <c r="P498" i="1"/>
  <c r="P636" i="1"/>
  <c r="P551" i="1"/>
  <c r="P662" i="1"/>
  <c r="P596" i="1"/>
  <c r="P669" i="1"/>
  <c r="P378" i="1"/>
  <c r="P431" i="1"/>
  <c r="P402" i="1"/>
  <c r="P224" i="1"/>
  <c r="P278" i="1"/>
  <c r="P192" i="1"/>
  <c r="P44" i="1"/>
  <c r="P80" i="1"/>
  <c r="P265" i="1"/>
  <c r="P261" i="1"/>
  <c r="P282" i="1"/>
  <c r="P454" i="1"/>
  <c r="P239" i="1"/>
  <c r="P20" i="1"/>
  <c r="P57" i="1"/>
  <c r="P203" i="1"/>
  <c r="P235" i="1"/>
  <c r="P587" i="1"/>
  <c r="P30" i="1"/>
  <c r="P250" i="1"/>
  <c r="P97" i="1"/>
  <c r="P199" i="1"/>
  <c r="P175" i="1"/>
  <c r="P387" i="1"/>
  <c r="P416" i="1"/>
  <c r="P87" i="1"/>
  <c r="P356" i="1"/>
  <c r="P308" i="1"/>
  <c r="P182" i="1"/>
  <c r="P85" i="1"/>
  <c r="P271" i="1"/>
  <c r="P293" i="1"/>
  <c r="P369" i="1"/>
  <c r="P569" i="1"/>
  <c r="P197" i="1"/>
  <c r="P602" i="1"/>
  <c r="P215" i="1"/>
  <c r="P2" i="1"/>
  <c r="P459" i="1"/>
  <c r="P274" i="1"/>
  <c r="P497" i="1"/>
  <c r="P225" i="1"/>
  <c r="P370" i="1"/>
  <c r="P682" i="1"/>
  <c r="P252" i="1"/>
  <c r="P254" i="1"/>
  <c r="P577" i="1"/>
  <c r="P589" i="1"/>
  <c r="P424" i="1"/>
  <c r="P40" i="1"/>
  <c r="P249" i="1"/>
  <c r="P640" i="1"/>
  <c r="P515" i="1"/>
  <c r="P201" i="1"/>
  <c r="P93" i="1"/>
  <c r="P185" i="1"/>
  <c r="P5" i="1"/>
  <c r="P14" i="1"/>
  <c r="P435" i="1"/>
  <c r="P326" i="1"/>
  <c r="P212" i="1"/>
  <c r="P248" i="1"/>
  <c r="P120" i="1"/>
  <c r="P533" i="1"/>
  <c r="P277" i="1"/>
  <c r="P21" i="1"/>
  <c r="P33" i="1"/>
  <c r="P563" i="1"/>
  <c r="P453" i="1"/>
  <c r="P54" i="1"/>
  <c r="P511" i="1"/>
  <c r="P483" i="1"/>
  <c r="P603" i="1"/>
  <c r="P612" i="1"/>
  <c r="P621" i="1"/>
  <c r="P159" i="1"/>
  <c r="P117" i="1"/>
  <c r="P96" i="1"/>
  <c r="P312" i="1"/>
  <c r="P38" i="1"/>
  <c r="P155" i="1"/>
  <c r="P186" i="1"/>
  <c r="P423" i="1"/>
  <c r="P379" i="1"/>
  <c r="P69" i="1"/>
  <c r="P31" i="1"/>
  <c r="P244" i="1"/>
  <c r="P351" i="1"/>
  <c r="P178" i="1"/>
  <c r="P63" i="1"/>
  <c r="P35" i="1"/>
  <c r="P393" i="1"/>
  <c r="P143" i="1"/>
  <c r="P350" i="1"/>
  <c r="P32" i="1"/>
  <c r="P232" i="1"/>
  <c r="P163" i="1"/>
  <c r="P102" i="1"/>
  <c r="P122" i="1"/>
  <c r="P71" i="1"/>
  <c r="P311" i="1"/>
  <c r="P565" i="1"/>
  <c r="P684" i="1"/>
  <c r="P538" i="1"/>
  <c r="P588" i="1"/>
  <c r="P654" i="1"/>
  <c r="P649" i="1"/>
  <c r="P144" i="1"/>
  <c r="P403" i="1"/>
  <c r="P530" i="1"/>
  <c r="P646" i="1"/>
  <c r="P535" i="1"/>
  <c r="P264" i="1"/>
  <c r="P291" i="1"/>
  <c r="P476" i="1"/>
  <c r="P617" i="1"/>
  <c r="P384" i="1"/>
  <c r="P190" i="1"/>
  <c r="P618" i="1"/>
  <c r="P539" i="1"/>
  <c r="P560" i="1"/>
  <c r="P668" i="1"/>
  <c r="P579" i="1"/>
  <c r="P631" i="1"/>
  <c r="P613" i="1"/>
  <c r="P607" i="1"/>
  <c r="P715" i="1"/>
  <c r="P216" i="1"/>
  <c r="P306" i="1"/>
  <c r="P651" i="1"/>
  <c r="P690" i="1"/>
  <c r="P659" i="1"/>
  <c r="P522" i="1"/>
  <c r="P344" i="1"/>
  <c r="P263" i="1"/>
  <c r="P82" i="1"/>
  <c r="P342" i="1"/>
  <c r="P548" i="1"/>
  <c r="P545" i="1"/>
  <c r="P600" i="1"/>
  <c r="P622" i="1"/>
  <c r="P371" i="1"/>
  <c r="P260" i="1"/>
  <c r="P488" i="1"/>
  <c r="P270" i="1"/>
  <c r="P81" i="1"/>
  <c r="P167" i="1"/>
  <c r="P422" i="1"/>
  <c r="P427" i="1"/>
  <c r="P457" i="1"/>
  <c r="P456" i="1"/>
  <c r="P480" i="1"/>
  <c r="P455" i="1"/>
  <c r="P238" i="1"/>
  <c r="P133" i="1"/>
  <c r="P115" i="1"/>
  <c r="P380" i="1"/>
  <c r="P243" i="1"/>
  <c r="P599" i="1"/>
  <c r="P493" i="1"/>
  <c r="P595" i="1"/>
  <c r="P504" i="1"/>
  <c r="P556" i="1"/>
  <c r="P644" i="1"/>
  <c r="P611" i="1"/>
  <c r="P436" i="1"/>
  <c r="P183" i="1"/>
  <c r="P204" i="1"/>
  <c r="P134" i="1"/>
  <c r="P48" i="1"/>
  <c r="P59" i="1"/>
  <c r="P37" i="1"/>
  <c r="P23" i="1"/>
  <c r="P75" i="1"/>
  <c r="P67" i="1"/>
  <c r="P95" i="1"/>
  <c r="P467" i="1"/>
  <c r="P22" i="1"/>
  <c r="P443" i="1"/>
  <c r="P84" i="1"/>
  <c r="P439" i="1"/>
  <c r="P641" i="1"/>
  <c r="P405" i="1"/>
  <c r="P425" i="1"/>
  <c r="P354" i="1"/>
  <c r="P486" i="1"/>
  <c r="P573" i="1"/>
  <c r="P34" i="1"/>
  <c r="P280" i="1"/>
  <c r="P448" i="1"/>
  <c r="P348" i="1"/>
  <c r="P173" i="1"/>
  <c r="P275" i="1"/>
  <c r="P534" i="1"/>
  <c r="P513" i="1"/>
  <c r="P385" i="1"/>
  <c r="P624" i="1"/>
  <c r="P590" i="1"/>
  <c r="P620" i="1"/>
  <c r="P509" i="1"/>
  <c r="P56" i="1"/>
  <c r="P70" i="1"/>
  <c r="P119" i="1"/>
  <c r="P373" i="1"/>
  <c r="P338" i="1"/>
  <c r="P195" i="1"/>
  <c r="P477" i="1"/>
  <c r="P524" i="1"/>
  <c r="P364" i="1"/>
  <c r="P168" i="1"/>
  <c r="P281" i="1"/>
  <c r="P407" i="1"/>
  <c r="P94" i="1"/>
  <c r="P139" i="1"/>
  <c r="P188" i="1"/>
  <c r="P346" i="1"/>
  <c r="P86" i="1"/>
  <c r="P318" i="1"/>
  <c r="P284" i="1"/>
  <c r="P531" i="1"/>
  <c r="P449" i="1"/>
  <c r="P349" i="1"/>
  <c r="P157" i="1"/>
  <c r="P27" i="1"/>
  <c r="P409" i="1"/>
  <c r="P68" i="1"/>
  <c r="P50" i="1"/>
  <c r="P340" i="1"/>
  <c r="P440" i="1"/>
  <c r="P451" i="1"/>
  <c r="P426" i="1"/>
  <c r="P529" i="1"/>
  <c r="P317" i="1"/>
  <c r="P256" i="1"/>
  <c r="P500" i="1"/>
  <c r="P632" i="1"/>
  <c r="P441" i="1"/>
  <c r="P9" i="1"/>
  <c r="P389" i="1"/>
  <c r="P218" i="1"/>
  <c r="P221" i="1"/>
  <c r="P226" i="1"/>
  <c r="P432" i="1"/>
  <c r="P321" i="1"/>
  <c r="P399" i="1"/>
  <c r="P417" i="1"/>
  <c r="P525" i="1"/>
  <c r="P492" i="1"/>
  <c r="P363" i="1"/>
  <c r="P211" i="1"/>
  <c r="P16" i="1"/>
  <c r="P213" i="1"/>
  <c r="P47" i="1"/>
  <c r="P520" i="1"/>
  <c r="P585" i="1"/>
  <c r="P149" i="1"/>
  <c r="P172" i="1"/>
  <c r="P325" i="1"/>
  <c r="P7" i="1"/>
  <c r="P64" i="1"/>
  <c r="P470" i="1"/>
  <c r="P4" i="1"/>
  <c r="P169" i="1"/>
  <c r="P79" i="1"/>
  <c r="P458" i="1"/>
  <c r="P430" i="1"/>
  <c r="P473" i="1"/>
  <c r="P187" i="1"/>
  <c r="P336" i="1"/>
  <c r="P627" i="1"/>
  <c r="P164" i="1"/>
  <c r="P647" i="1"/>
  <c r="P666" i="1"/>
  <c r="P341" i="1"/>
  <c r="P635" i="1"/>
  <c r="P670" i="1"/>
  <c r="P601" i="1"/>
  <c r="P487" i="1"/>
  <c r="P638" i="1"/>
  <c r="P692" i="1"/>
  <c r="P655" i="1"/>
  <c r="P678" i="1"/>
  <c r="P713" i="1"/>
  <c r="P113" i="1"/>
  <c r="P685" i="1"/>
  <c r="P523" i="1"/>
  <c r="P675" i="1"/>
  <c r="P716" i="1"/>
  <c r="P680" i="1"/>
  <c r="P100" i="1"/>
  <c r="P583" i="1"/>
  <c r="P696" i="1"/>
  <c r="P657" i="1"/>
  <c r="P528" i="1"/>
  <c r="P418" i="1"/>
  <c r="P209" i="1"/>
  <c r="P720" i="1"/>
  <c r="P725" i="1"/>
  <c r="P161" i="1"/>
  <c r="P717" i="1"/>
  <c r="P404" i="1"/>
  <c r="P564" i="1"/>
  <c r="P726" i="1"/>
  <c r="P495" i="1"/>
  <c r="P52" i="1"/>
  <c r="P198" i="1"/>
  <c r="P411" i="1"/>
  <c r="P60" i="1"/>
  <c r="P359" i="1"/>
  <c r="P184" i="1"/>
  <c r="P101" i="1"/>
  <c r="P505" i="1"/>
  <c r="P335" i="1"/>
  <c r="P386" i="1"/>
  <c r="P242" i="1"/>
  <c r="P231" i="1"/>
  <c r="P177" i="1"/>
  <c r="P171" i="1"/>
  <c r="P466" i="1"/>
  <c r="P156" i="1"/>
  <c r="P434" i="1"/>
  <c r="P594" i="1"/>
  <c r="P518" i="1"/>
  <c r="P691" i="1"/>
  <c r="P228" i="1"/>
  <c r="P129" i="1"/>
  <c r="P12" i="1"/>
  <c r="P247" i="1"/>
  <c r="P202" i="1"/>
  <c r="P298" i="1"/>
  <c r="P491" i="1"/>
  <c r="P608" i="1"/>
  <c r="P519" i="1"/>
  <c r="P575" i="1"/>
  <c r="P667" i="1"/>
  <c r="P727" i="1"/>
  <c r="P689" i="1"/>
  <c r="P677" i="1"/>
  <c r="P700" i="1"/>
  <c r="P704" i="1"/>
  <c r="P637" i="1"/>
  <c r="P711" i="1"/>
  <c r="P147" i="1"/>
  <c r="P62" i="1"/>
  <c r="P554" i="1"/>
  <c r="P179" i="1"/>
  <c r="P472" i="1"/>
  <c r="P728" i="1"/>
  <c r="P484" i="1"/>
  <c r="P103" i="1"/>
  <c r="P648" i="1"/>
  <c r="P382" i="1"/>
  <c r="P481" i="1"/>
  <c r="P681" i="1"/>
  <c r="P582" i="1"/>
  <c r="P572" i="1"/>
  <c r="P661" i="1"/>
  <c r="P721" i="1"/>
  <c r="P706" i="1"/>
  <c r="P705" i="1"/>
  <c r="P642" i="1"/>
  <c r="P557" i="1"/>
  <c r="P671" i="1"/>
  <c r="P158" i="1"/>
  <c r="P141" i="1"/>
  <c r="P150" i="1"/>
  <c r="P24" i="1"/>
  <c r="P206" i="1"/>
  <c r="P205" i="1"/>
  <c r="P544" i="1"/>
  <c r="P210" i="1"/>
  <c r="P74" i="1"/>
  <c r="P36" i="1"/>
  <c r="P421" i="1"/>
  <c r="P546" i="1"/>
  <c r="P83" i="1"/>
  <c r="P645" i="1"/>
  <c r="P398" i="1"/>
  <c r="P269" i="1"/>
  <c r="P222" i="1"/>
  <c r="P108" i="1"/>
  <c r="P367" i="1"/>
  <c r="P39" i="1"/>
  <c r="P561" i="1"/>
  <c r="P616" i="1"/>
  <c r="P304" i="1"/>
  <c r="P6" i="1"/>
  <c r="P217" i="1"/>
  <c r="P18" i="1"/>
  <c r="P328" i="1"/>
  <c r="P162" i="1"/>
  <c r="P66" i="1"/>
  <c r="P503" i="1"/>
  <c r="P176" i="1"/>
  <c r="P452" i="1"/>
  <c r="P604" i="1"/>
  <c r="P660" i="1"/>
  <c r="P259" i="1"/>
  <c r="P323" i="1"/>
  <c r="P330" i="1"/>
  <c r="P279" i="1"/>
  <c r="P372" i="1"/>
  <c r="P507" i="1"/>
  <c r="P437" i="1"/>
  <c r="P374" i="1"/>
  <c r="P445" i="1"/>
  <c r="P240" i="1"/>
  <c r="P629" i="1"/>
  <c r="P482" i="1"/>
  <c r="P712" i="1"/>
  <c r="P550" i="1"/>
  <c r="P410" i="1"/>
  <c r="P697" i="1"/>
  <c r="P420" i="1"/>
  <c r="P574" i="1"/>
  <c r="P194" i="1"/>
  <c r="P633" i="1"/>
  <c r="P128" i="1"/>
  <c r="P361" i="1"/>
  <c r="P390" i="1"/>
  <c r="P297" i="1"/>
  <c r="P8" i="1"/>
  <c r="P114" i="1"/>
  <c r="P408" i="1"/>
  <c r="P287" i="1"/>
  <c r="P413" i="1"/>
  <c r="P397" i="1"/>
  <c r="P506" i="1"/>
  <c r="P395" i="1"/>
  <c r="P433" i="1"/>
  <c r="P463" i="1"/>
  <c r="P664" i="1"/>
  <c r="P368" i="1"/>
  <c r="P200" i="1"/>
  <c r="P19" i="1"/>
  <c r="P461" i="1"/>
  <c r="P549" i="1"/>
  <c r="P446" i="1"/>
  <c r="P255" i="1"/>
  <c r="P251" i="1"/>
  <c r="P383" i="1"/>
  <c r="P245" i="1"/>
  <c r="P106" i="1"/>
  <c r="P98" i="1"/>
  <c r="P65" i="1"/>
  <c r="P540" i="1"/>
  <c r="P180" i="1"/>
  <c r="P592" i="1"/>
  <c r="P532" i="1"/>
  <c r="P580" i="1"/>
  <c r="P512" i="1"/>
  <c r="P494" i="1"/>
  <c r="P517" i="1"/>
  <c r="P628" i="1"/>
  <c r="P571" i="1"/>
  <c r="P552" i="1"/>
  <c r="P272" i="1"/>
  <c r="P360" i="1"/>
  <c r="P276" i="1"/>
  <c r="P479" i="1"/>
  <c r="P508" i="1"/>
  <c r="P559" i="1"/>
  <c r="P303" i="1"/>
  <c r="P478" i="1"/>
  <c r="P345" i="1"/>
  <c r="P61" i="1"/>
  <c r="P381" i="1"/>
  <c r="P91" i="1"/>
  <c r="P166" i="1"/>
  <c r="P329" i="1"/>
  <c r="P305" i="1"/>
  <c r="P148" i="1"/>
  <c r="P322" i="1"/>
  <c r="P316" i="1"/>
  <c r="P257" i="1"/>
  <c r="P140" i="1"/>
  <c r="P542" i="1"/>
  <c r="P606" i="1"/>
  <c r="P623" i="1"/>
  <c r="P501" i="1"/>
  <c r="P89" i="1"/>
  <c r="P337" i="1"/>
  <c r="P170" i="1"/>
  <c r="P219" i="1"/>
  <c r="P90" i="1"/>
  <c r="P165" i="1"/>
  <c r="P13" i="1"/>
  <c r="P78" i="1"/>
  <c r="P146" i="1"/>
  <c r="P136" i="1"/>
  <c r="P468" i="1"/>
  <c r="P358" i="1"/>
  <c r="P283" i="1"/>
  <c r="P124" i="1"/>
  <c r="P319" i="1"/>
  <c r="P125" i="1"/>
  <c r="P207" i="1"/>
  <c r="P339" i="1"/>
  <c r="P489" i="1"/>
  <c r="P309" i="1"/>
  <c r="P130" i="1"/>
  <c r="P415" i="1"/>
  <c r="P391" i="1"/>
  <c r="P118" i="1"/>
  <c r="P26" i="1"/>
  <c r="P25" i="1"/>
  <c r="P154" i="1"/>
  <c r="P719" i="1"/>
  <c r="P536" i="1"/>
  <c r="P688" i="1"/>
  <c r="P53" i="1"/>
  <c r="P121" i="1"/>
  <c r="P41" i="1"/>
  <c r="P142" i="1"/>
  <c r="P17" i="1"/>
  <c r="P10" i="1"/>
  <c r="P135" i="1"/>
  <c r="P55" i="1"/>
  <c r="P233" i="1"/>
  <c r="P333" i="1"/>
  <c r="P267" i="1"/>
  <c r="P99" i="1"/>
  <c r="P442" i="1"/>
  <c r="P553" i="1"/>
  <c r="P392" i="1"/>
  <c r="P568" i="1"/>
  <c r="P652" i="1"/>
  <c r="P558" i="1"/>
  <c r="P625" i="1"/>
  <c r="P324" i="1"/>
  <c r="P357" i="1"/>
  <c r="P327" i="1"/>
  <c r="P634" i="1"/>
  <c r="P331" i="1"/>
  <c r="P266" i="1"/>
  <c r="P414" i="1"/>
  <c r="P112" i="1"/>
  <c r="P189" i="1"/>
  <c r="P214" i="1"/>
  <c r="P428" i="1"/>
  <c r="P15" i="1"/>
  <c r="P366" i="1"/>
  <c r="P193" i="1"/>
  <c r="P246" i="1"/>
  <c r="P77" i="1"/>
  <c r="P332" i="1"/>
  <c r="P229" i="1"/>
  <c r="P299" i="1"/>
  <c r="P191" i="1"/>
  <c r="P584" i="1"/>
  <c r="P377" i="1"/>
  <c r="P394" i="1"/>
  <c r="P295" i="1"/>
  <c r="P643" i="1"/>
  <c r="P42" i="1"/>
  <c r="P591" i="1"/>
  <c r="P502" i="1"/>
  <c r="P485" i="1"/>
  <c r="P29" i="1"/>
  <c r="P687" i="1"/>
  <c r="P656" i="1"/>
  <c r="P220" i="1"/>
  <c r="P230" i="1"/>
  <c r="P562" i="1"/>
  <c r="P258" i="1"/>
  <c r="P438" i="1"/>
  <c r="P541" i="1"/>
  <c r="P567" i="1"/>
  <c r="P598" i="1"/>
  <c r="P181" i="1"/>
  <c r="P464" i="1"/>
  <c r="P578" i="1"/>
  <c r="P547" i="1"/>
  <c r="P401" i="1"/>
  <c r="P227" i="1"/>
  <c r="P490" i="1"/>
  <c r="P353" i="1"/>
  <c r="P626" i="1"/>
  <c r="P412" i="1"/>
  <c r="P707" i="1"/>
  <c r="P650" i="1"/>
  <c r="P708" i="1"/>
  <c r="P196" i="1"/>
  <c r="P570" i="1"/>
  <c r="P566" i="1"/>
  <c r="P679" i="1"/>
  <c r="P663" i="1"/>
  <c r="P609" i="1"/>
  <c r="P674" i="1"/>
  <c r="P676" i="1"/>
  <c r="P521" i="1"/>
  <c r="P693" i="1"/>
  <c r="P514" i="1"/>
  <c r="P701" i="1"/>
  <c r="P695" i="1"/>
  <c r="P320" i="1"/>
  <c r="P105" i="1"/>
  <c r="P362" i="1"/>
  <c r="P262" i="1"/>
  <c r="P116" i="1"/>
  <c r="P72" i="1"/>
  <c r="P137" i="1"/>
  <c r="P289" i="1"/>
  <c r="P469" i="1"/>
  <c r="P375" i="1"/>
  <c r="P123" i="1"/>
  <c r="P51" i="1"/>
  <c r="P285" i="1"/>
  <c r="P510" i="1"/>
  <c r="P268" i="1"/>
  <c r="P300" i="1"/>
  <c r="P273" i="1"/>
  <c r="P28" i="1"/>
  <c r="P388" i="1"/>
  <c r="P110" i="1"/>
  <c r="P334" i="1"/>
  <c r="P400" i="1"/>
  <c r="P343" i="1"/>
  <c r="P45" i="1"/>
  <c r="P665" i="1"/>
  <c r="P710" i="1"/>
  <c r="P694" i="1"/>
  <c r="P639" i="1"/>
  <c r="P465" i="1"/>
  <c r="P619" i="1"/>
  <c r="P683" i="1"/>
  <c r="P686" i="1"/>
  <c r="P672" i="1"/>
  <c r="P46" i="1"/>
  <c r="P475" i="1"/>
  <c r="P526" i="1"/>
  <c r="P724" i="1"/>
  <c r="P673" i="1"/>
  <c r="P301" i="1"/>
  <c r="P581" i="1"/>
  <c r="P471" i="1"/>
  <c r="P718" i="1"/>
  <c r="P723" i="1"/>
  <c r="P714" i="1"/>
  <c r="P576" i="1"/>
  <c r="P702" i="1"/>
  <c r="P630" i="1"/>
  <c r="P709" i="1"/>
  <c r="P610" i="1"/>
  <c r="P698" i="1"/>
  <c r="P722" i="1"/>
  <c r="P537" i="1"/>
  <c r="P292" i="1"/>
  <c r="P555" i="1"/>
  <c r="P126" i="1"/>
  <c r="P111" i="1"/>
  <c r="P58" i="1"/>
  <c r="P3" i="1"/>
  <c r="P310" i="1"/>
  <c r="P586" i="1"/>
  <c r="P145" i="1"/>
  <c r="P132" i="1"/>
  <c r="P174" i="1"/>
  <c r="P699" i="1"/>
  <c r="P703" i="1"/>
  <c r="P234" i="1"/>
  <c r="P653" i="1"/>
  <c r="P290" i="1"/>
  <c r="O49" i="1"/>
  <c r="O88" i="1"/>
  <c r="O11" i="1"/>
  <c r="O43" i="1"/>
  <c r="O131" i="1"/>
  <c r="O151" i="1"/>
  <c r="O153" i="1"/>
  <c r="O104" i="1"/>
  <c r="O296" i="1"/>
  <c r="O658" i="1"/>
  <c r="O516" i="1"/>
  <c r="O294" i="1"/>
  <c r="O543" i="1"/>
  <c r="O236" i="1"/>
  <c r="O444" i="1"/>
  <c r="O419" i="1"/>
  <c r="O396" i="1"/>
  <c r="O352" i="1"/>
  <c r="O593" i="1"/>
  <c r="O615" i="1"/>
  <c r="O127" i="1"/>
  <c r="O376" i="1"/>
  <c r="O313" i="1"/>
  <c r="O355" i="1"/>
  <c r="O76" i="1"/>
  <c r="O406" i="1"/>
  <c r="O302" i="1"/>
  <c r="O73" i="1"/>
  <c r="O160" i="1"/>
  <c r="O92" i="1"/>
  <c r="O152" i="1"/>
  <c r="O288" i="1"/>
  <c r="O429" i="1"/>
  <c r="O253" i="1"/>
  <c r="O241" i="1"/>
  <c r="O365" i="1"/>
  <c r="O107" i="1"/>
  <c r="O286" i="1"/>
  <c r="O527" i="1"/>
  <c r="O597" i="1"/>
  <c r="O614" i="1"/>
  <c r="O223" i="1"/>
  <c r="O605" i="1"/>
  <c r="O138" i="1"/>
  <c r="O347" i="1"/>
  <c r="O109" i="1"/>
  <c r="O307" i="1"/>
  <c r="O460" i="1"/>
  <c r="O314" i="1"/>
  <c r="O237" i="1"/>
  <c r="O447" i="1"/>
  <c r="O450" i="1"/>
  <c r="O499" i="1"/>
  <c r="O474" i="1"/>
  <c r="O315" i="1"/>
  <c r="O496" i="1"/>
  <c r="O462" i="1"/>
  <c r="O208" i="1"/>
  <c r="O498" i="1"/>
  <c r="O636" i="1"/>
  <c r="O551" i="1"/>
  <c r="O662" i="1"/>
  <c r="O596" i="1"/>
  <c r="O669" i="1"/>
  <c r="O378" i="1"/>
  <c r="O431" i="1"/>
  <c r="O402" i="1"/>
  <c r="O224" i="1"/>
  <c r="O278" i="1"/>
  <c r="O192" i="1"/>
  <c r="O44" i="1"/>
  <c r="O80" i="1"/>
  <c r="O265" i="1"/>
  <c r="O261" i="1"/>
  <c r="O282" i="1"/>
  <c r="O454" i="1"/>
  <c r="O239" i="1"/>
  <c r="O20" i="1"/>
  <c r="O57" i="1"/>
  <c r="O203" i="1"/>
  <c r="O235" i="1"/>
  <c r="O587" i="1"/>
  <c r="O30" i="1"/>
  <c r="O250" i="1"/>
  <c r="O97" i="1"/>
  <c r="O199" i="1"/>
  <c r="O175" i="1"/>
  <c r="O387" i="1"/>
  <c r="O416" i="1"/>
  <c r="O87" i="1"/>
  <c r="O356" i="1"/>
  <c r="O308" i="1"/>
  <c r="O182" i="1"/>
  <c r="O85" i="1"/>
  <c r="O271" i="1"/>
  <c r="O293" i="1"/>
  <c r="O369" i="1"/>
  <c r="O569" i="1"/>
  <c r="O197" i="1"/>
  <c r="O602" i="1"/>
  <c r="O215" i="1"/>
  <c r="O2" i="1"/>
  <c r="O459" i="1"/>
  <c r="O274" i="1"/>
  <c r="O497" i="1"/>
  <c r="O225" i="1"/>
  <c r="O370" i="1"/>
  <c r="O682" i="1"/>
  <c r="O252" i="1"/>
  <c r="O254" i="1"/>
  <c r="O577" i="1"/>
  <c r="O589" i="1"/>
  <c r="O424" i="1"/>
  <c r="O40" i="1"/>
  <c r="O249" i="1"/>
  <c r="O640" i="1"/>
  <c r="O515" i="1"/>
  <c r="O201" i="1"/>
  <c r="O93" i="1"/>
  <c r="O185" i="1"/>
  <c r="O5" i="1"/>
  <c r="O14" i="1"/>
  <c r="O435" i="1"/>
  <c r="O326" i="1"/>
  <c r="O212" i="1"/>
  <c r="O248" i="1"/>
  <c r="O120" i="1"/>
  <c r="O533" i="1"/>
  <c r="O277" i="1"/>
  <c r="O21" i="1"/>
  <c r="O33" i="1"/>
  <c r="O563" i="1"/>
  <c r="O453" i="1"/>
  <c r="O54" i="1"/>
  <c r="O511" i="1"/>
  <c r="O483" i="1"/>
  <c r="O603" i="1"/>
  <c r="O612" i="1"/>
  <c r="O621" i="1"/>
  <c r="O159" i="1"/>
  <c r="O117" i="1"/>
  <c r="O96" i="1"/>
  <c r="O312" i="1"/>
  <c r="O38" i="1"/>
  <c r="O155" i="1"/>
  <c r="O186" i="1"/>
  <c r="O423" i="1"/>
  <c r="O379" i="1"/>
  <c r="O69" i="1"/>
  <c r="O31" i="1"/>
  <c r="O244" i="1"/>
  <c r="O351" i="1"/>
  <c r="O178" i="1"/>
  <c r="O63" i="1"/>
  <c r="O35" i="1"/>
  <c r="O393" i="1"/>
  <c r="O143" i="1"/>
  <c r="O350" i="1"/>
  <c r="O32" i="1"/>
  <c r="O232" i="1"/>
  <c r="O163" i="1"/>
  <c r="O102" i="1"/>
  <c r="O122" i="1"/>
  <c r="O71" i="1"/>
  <c r="O311" i="1"/>
  <c r="O565" i="1"/>
  <c r="O684" i="1"/>
  <c r="O538" i="1"/>
  <c r="O588" i="1"/>
  <c r="O654" i="1"/>
  <c r="O649" i="1"/>
  <c r="O144" i="1"/>
  <c r="O403" i="1"/>
  <c r="O530" i="1"/>
  <c r="O646" i="1"/>
  <c r="O535" i="1"/>
  <c r="O264" i="1"/>
  <c r="O291" i="1"/>
  <c r="O476" i="1"/>
  <c r="O617" i="1"/>
  <c r="O384" i="1"/>
  <c r="O190" i="1"/>
  <c r="O618" i="1"/>
  <c r="O539" i="1"/>
  <c r="O560" i="1"/>
  <c r="O668" i="1"/>
  <c r="O579" i="1"/>
  <c r="O631" i="1"/>
  <c r="O613" i="1"/>
  <c r="O607" i="1"/>
  <c r="O715" i="1"/>
  <c r="O216" i="1"/>
  <c r="O306" i="1"/>
  <c r="O651" i="1"/>
  <c r="O690" i="1"/>
  <c r="O659" i="1"/>
  <c r="O522" i="1"/>
  <c r="O344" i="1"/>
  <c r="O263" i="1"/>
  <c r="O82" i="1"/>
  <c r="O342" i="1"/>
  <c r="O548" i="1"/>
  <c r="O545" i="1"/>
  <c r="O600" i="1"/>
  <c r="O622" i="1"/>
  <c r="O371" i="1"/>
  <c r="O260" i="1"/>
  <c r="O488" i="1"/>
  <c r="O270" i="1"/>
  <c r="O81" i="1"/>
  <c r="O167" i="1"/>
  <c r="O422" i="1"/>
  <c r="O427" i="1"/>
  <c r="O457" i="1"/>
  <c r="O456" i="1"/>
  <c r="O480" i="1"/>
  <c r="O455" i="1"/>
  <c r="O238" i="1"/>
  <c r="O133" i="1"/>
  <c r="O115" i="1"/>
  <c r="O380" i="1"/>
  <c r="O243" i="1"/>
  <c r="O599" i="1"/>
  <c r="O493" i="1"/>
  <c r="O595" i="1"/>
  <c r="O504" i="1"/>
  <c r="O556" i="1"/>
  <c r="O644" i="1"/>
  <c r="O611" i="1"/>
  <c r="O436" i="1"/>
  <c r="O183" i="1"/>
  <c r="O204" i="1"/>
  <c r="O134" i="1"/>
  <c r="O48" i="1"/>
  <c r="O59" i="1"/>
  <c r="O37" i="1"/>
  <c r="O23" i="1"/>
  <c r="O75" i="1"/>
  <c r="O67" i="1"/>
  <c r="O95" i="1"/>
  <c r="O467" i="1"/>
  <c r="O22" i="1"/>
  <c r="O443" i="1"/>
  <c r="O84" i="1"/>
  <c r="O439" i="1"/>
  <c r="O641" i="1"/>
  <c r="O405" i="1"/>
  <c r="O425" i="1"/>
  <c r="O354" i="1"/>
  <c r="O486" i="1"/>
  <c r="O573" i="1"/>
  <c r="O34" i="1"/>
  <c r="O280" i="1"/>
  <c r="O448" i="1"/>
  <c r="O348" i="1"/>
  <c r="O173" i="1"/>
  <c r="O275" i="1"/>
  <c r="O534" i="1"/>
  <c r="O513" i="1"/>
  <c r="O385" i="1"/>
  <c r="O624" i="1"/>
  <c r="O590" i="1"/>
  <c r="O620" i="1"/>
  <c r="O509" i="1"/>
  <c r="O56" i="1"/>
  <c r="O70" i="1"/>
  <c r="O119" i="1"/>
  <c r="O373" i="1"/>
  <c r="O338" i="1"/>
  <c r="O195" i="1"/>
  <c r="O477" i="1"/>
  <c r="O524" i="1"/>
  <c r="O364" i="1"/>
  <c r="O168" i="1"/>
  <c r="O281" i="1"/>
  <c r="O407" i="1"/>
  <c r="O94" i="1"/>
  <c r="O139" i="1"/>
  <c r="O188" i="1"/>
  <c r="O346" i="1"/>
  <c r="O86" i="1"/>
  <c r="O318" i="1"/>
  <c r="O284" i="1"/>
  <c r="O531" i="1"/>
  <c r="O449" i="1"/>
  <c r="O349" i="1"/>
  <c r="O157" i="1"/>
  <c r="O27" i="1"/>
  <c r="O409" i="1"/>
  <c r="O68" i="1"/>
  <c r="O50" i="1"/>
  <c r="O340" i="1"/>
  <c r="O440" i="1"/>
  <c r="O451" i="1"/>
  <c r="O426" i="1"/>
  <c r="O529" i="1"/>
  <c r="O317" i="1"/>
  <c r="O256" i="1"/>
  <c r="O500" i="1"/>
  <c r="O632" i="1"/>
  <c r="O441" i="1"/>
  <c r="O9" i="1"/>
  <c r="O389" i="1"/>
  <c r="O218" i="1"/>
  <c r="O221" i="1"/>
  <c r="O226" i="1"/>
  <c r="O432" i="1"/>
  <c r="O321" i="1"/>
  <c r="O399" i="1"/>
  <c r="O417" i="1"/>
  <c r="O525" i="1"/>
  <c r="O492" i="1"/>
  <c r="O363" i="1"/>
  <c r="O211" i="1"/>
  <c r="O16" i="1"/>
  <c r="O213" i="1"/>
  <c r="O47" i="1"/>
  <c r="O520" i="1"/>
  <c r="O585" i="1"/>
  <c r="O149" i="1"/>
  <c r="O172" i="1"/>
  <c r="O325" i="1"/>
  <c r="O7" i="1"/>
  <c r="O64" i="1"/>
  <c r="O470" i="1"/>
  <c r="O4" i="1"/>
  <c r="O169" i="1"/>
  <c r="O79" i="1"/>
  <c r="O458" i="1"/>
  <c r="O430" i="1"/>
  <c r="O473" i="1"/>
  <c r="O187" i="1"/>
  <c r="O336" i="1"/>
  <c r="O627" i="1"/>
  <c r="O164" i="1"/>
  <c r="O647" i="1"/>
  <c r="O666" i="1"/>
  <c r="O341" i="1"/>
  <c r="O635" i="1"/>
  <c r="O670" i="1"/>
  <c r="O601" i="1"/>
  <c r="O487" i="1"/>
  <c r="O638" i="1"/>
  <c r="O692" i="1"/>
  <c r="O655" i="1"/>
  <c r="O678" i="1"/>
  <c r="O713" i="1"/>
  <c r="O113" i="1"/>
  <c r="O685" i="1"/>
  <c r="O523" i="1"/>
  <c r="O675" i="1"/>
  <c r="O716" i="1"/>
  <c r="O680" i="1"/>
  <c r="O100" i="1"/>
  <c r="O583" i="1"/>
  <c r="O696" i="1"/>
  <c r="O657" i="1"/>
  <c r="O528" i="1"/>
  <c r="O418" i="1"/>
  <c r="O209" i="1"/>
  <c r="O720" i="1"/>
  <c r="O725" i="1"/>
  <c r="O161" i="1"/>
  <c r="O717" i="1"/>
  <c r="O404" i="1"/>
  <c r="O564" i="1"/>
  <c r="O726" i="1"/>
  <c r="O495" i="1"/>
  <c r="O52" i="1"/>
  <c r="O198" i="1"/>
  <c r="O411" i="1"/>
  <c r="O60" i="1"/>
  <c r="O359" i="1"/>
  <c r="O184" i="1"/>
  <c r="O101" i="1"/>
  <c r="O505" i="1"/>
  <c r="O335" i="1"/>
  <c r="O386" i="1"/>
  <c r="O242" i="1"/>
  <c r="O231" i="1"/>
  <c r="O177" i="1"/>
  <c r="O171" i="1"/>
  <c r="O466" i="1"/>
  <c r="O156" i="1"/>
  <c r="O434" i="1"/>
  <c r="O594" i="1"/>
  <c r="O518" i="1"/>
  <c r="O691" i="1"/>
  <c r="O228" i="1"/>
  <c r="O129" i="1"/>
  <c r="O12" i="1"/>
  <c r="O247" i="1"/>
  <c r="O202" i="1"/>
  <c r="O298" i="1"/>
  <c r="O491" i="1"/>
  <c r="O608" i="1"/>
  <c r="O519" i="1"/>
  <c r="O575" i="1"/>
  <c r="O667" i="1"/>
  <c r="O727" i="1"/>
  <c r="O689" i="1"/>
  <c r="O677" i="1"/>
  <c r="O700" i="1"/>
  <c r="O704" i="1"/>
  <c r="O637" i="1"/>
  <c r="O711" i="1"/>
  <c r="O147" i="1"/>
  <c r="O62" i="1"/>
  <c r="O554" i="1"/>
  <c r="O179" i="1"/>
  <c r="O472" i="1"/>
  <c r="O728" i="1"/>
  <c r="O484" i="1"/>
  <c r="O103" i="1"/>
  <c r="O648" i="1"/>
  <c r="O382" i="1"/>
  <c r="O481" i="1"/>
  <c r="O681" i="1"/>
  <c r="O582" i="1"/>
  <c r="O572" i="1"/>
  <c r="O661" i="1"/>
  <c r="O721" i="1"/>
  <c r="O706" i="1"/>
  <c r="O705" i="1"/>
  <c r="O642" i="1"/>
  <c r="O557" i="1"/>
  <c r="O671" i="1"/>
  <c r="O158" i="1"/>
  <c r="O141" i="1"/>
  <c r="O150" i="1"/>
  <c r="O24" i="1"/>
  <c r="O206" i="1"/>
  <c r="O205" i="1"/>
  <c r="O544" i="1"/>
  <c r="O210" i="1"/>
  <c r="O74" i="1"/>
  <c r="O36" i="1"/>
  <c r="O421" i="1"/>
  <c r="O546" i="1"/>
  <c r="O83" i="1"/>
  <c r="O645" i="1"/>
  <c r="O398" i="1"/>
  <c r="O269" i="1"/>
  <c r="O222" i="1"/>
  <c r="O108" i="1"/>
  <c r="O367" i="1"/>
  <c r="O39" i="1"/>
  <c r="O561" i="1"/>
  <c r="O616" i="1"/>
  <c r="O304" i="1"/>
  <c r="O6" i="1"/>
  <c r="O217" i="1"/>
  <c r="O18" i="1"/>
  <c r="O328" i="1"/>
  <c r="O162" i="1"/>
  <c r="O66" i="1"/>
  <c r="O503" i="1"/>
  <c r="O176" i="1"/>
  <c r="O452" i="1"/>
  <c r="O604" i="1"/>
  <c r="O660" i="1"/>
  <c r="O259" i="1"/>
  <c r="O323" i="1"/>
  <c r="O330" i="1"/>
  <c r="O279" i="1"/>
  <c r="O372" i="1"/>
  <c r="O507" i="1"/>
  <c r="O437" i="1"/>
  <c r="O374" i="1"/>
  <c r="O445" i="1"/>
  <c r="O240" i="1"/>
  <c r="O629" i="1"/>
  <c r="O482" i="1"/>
  <c r="O712" i="1"/>
  <c r="O550" i="1"/>
  <c r="O410" i="1"/>
  <c r="O697" i="1"/>
  <c r="O420" i="1"/>
  <c r="O574" i="1"/>
  <c r="O194" i="1"/>
  <c r="O633" i="1"/>
  <c r="O128" i="1"/>
  <c r="O361" i="1"/>
  <c r="O390" i="1"/>
  <c r="O297" i="1"/>
  <c r="O8" i="1"/>
  <c r="O114" i="1"/>
  <c r="O408" i="1"/>
  <c r="O287" i="1"/>
  <c r="O413" i="1"/>
  <c r="O397" i="1"/>
  <c r="O506" i="1"/>
  <c r="O395" i="1"/>
  <c r="O433" i="1"/>
  <c r="O463" i="1"/>
  <c r="O664" i="1"/>
  <c r="O368" i="1"/>
  <c r="O200" i="1"/>
  <c r="O19" i="1"/>
  <c r="O461" i="1"/>
  <c r="O549" i="1"/>
  <c r="O446" i="1"/>
  <c r="O255" i="1"/>
  <c r="O251" i="1"/>
  <c r="O383" i="1"/>
  <c r="O245" i="1"/>
  <c r="O106" i="1"/>
  <c r="O98" i="1"/>
  <c r="O65" i="1"/>
  <c r="O540" i="1"/>
  <c r="O180" i="1"/>
  <c r="O592" i="1"/>
  <c r="O532" i="1"/>
  <c r="O580" i="1"/>
  <c r="O512" i="1"/>
  <c r="O494" i="1"/>
  <c r="O517" i="1"/>
  <c r="O628" i="1"/>
  <c r="O571" i="1"/>
  <c r="O552" i="1"/>
  <c r="O272" i="1"/>
  <c r="O360" i="1"/>
  <c r="O276" i="1"/>
  <c r="O479" i="1"/>
  <c r="O508" i="1"/>
  <c r="O559" i="1"/>
  <c r="O303" i="1"/>
  <c r="O478" i="1"/>
  <c r="O345" i="1"/>
  <c r="O61" i="1"/>
  <c r="O381" i="1"/>
  <c r="O91" i="1"/>
  <c r="O166" i="1"/>
  <c r="O329" i="1"/>
  <c r="O305" i="1"/>
  <c r="O148" i="1"/>
  <c r="O322" i="1"/>
  <c r="O316" i="1"/>
  <c r="O257" i="1"/>
  <c r="O140" i="1"/>
  <c r="O542" i="1"/>
  <c r="O606" i="1"/>
  <c r="O623" i="1"/>
  <c r="O501" i="1"/>
  <c r="O89" i="1"/>
  <c r="O337" i="1"/>
  <c r="O170" i="1"/>
  <c r="O219" i="1"/>
  <c r="O90" i="1"/>
  <c r="O165" i="1"/>
  <c r="O13" i="1"/>
  <c r="O78" i="1"/>
  <c r="O146" i="1"/>
  <c r="O136" i="1"/>
  <c r="O468" i="1"/>
  <c r="O358" i="1"/>
  <c r="O283" i="1"/>
  <c r="O124" i="1"/>
  <c r="O319" i="1"/>
  <c r="O125" i="1"/>
  <c r="O207" i="1"/>
  <c r="O339" i="1"/>
  <c r="O489" i="1"/>
  <c r="O309" i="1"/>
  <c r="O130" i="1"/>
  <c r="O415" i="1"/>
  <c r="O391" i="1"/>
  <c r="O118" i="1"/>
  <c r="O26" i="1"/>
  <c r="O25" i="1"/>
  <c r="O154" i="1"/>
  <c r="O719" i="1"/>
  <c r="O536" i="1"/>
  <c r="O688" i="1"/>
  <c r="O53" i="1"/>
  <c r="O121" i="1"/>
  <c r="O41" i="1"/>
  <c r="O142" i="1"/>
  <c r="O17" i="1"/>
  <c r="O10" i="1"/>
  <c r="O135" i="1"/>
  <c r="O55" i="1"/>
  <c r="O233" i="1"/>
  <c r="O333" i="1"/>
  <c r="O267" i="1"/>
  <c r="O99" i="1"/>
  <c r="O442" i="1"/>
  <c r="O553" i="1"/>
  <c r="O392" i="1"/>
  <c r="O568" i="1"/>
  <c r="O652" i="1"/>
  <c r="O558" i="1"/>
  <c r="O625" i="1"/>
  <c r="O324" i="1"/>
  <c r="O357" i="1"/>
  <c r="O327" i="1"/>
  <c r="O634" i="1"/>
  <c r="O331" i="1"/>
  <c r="O266" i="1"/>
  <c r="O414" i="1"/>
  <c r="O112" i="1"/>
  <c r="O189" i="1"/>
  <c r="O214" i="1"/>
  <c r="O428" i="1"/>
  <c r="O15" i="1"/>
  <c r="O366" i="1"/>
  <c r="O193" i="1"/>
  <c r="O246" i="1"/>
  <c r="O77" i="1"/>
  <c r="O332" i="1"/>
  <c r="O229" i="1"/>
  <c r="O299" i="1"/>
  <c r="O191" i="1"/>
  <c r="O584" i="1"/>
  <c r="O377" i="1"/>
  <c r="O394" i="1"/>
  <c r="O295" i="1"/>
  <c r="O643" i="1"/>
  <c r="O42" i="1"/>
  <c r="O591" i="1"/>
  <c r="O502" i="1"/>
  <c r="O485" i="1"/>
  <c r="O29" i="1"/>
  <c r="O687" i="1"/>
  <c r="O656" i="1"/>
  <c r="O220" i="1"/>
  <c r="O230" i="1"/>
  <c r="O562" i="1"/>
  <c r="O258" i="1"/>
  <c r="O438" i="1"/>
  <c r="O541" i="1"/>
  <c r="O567" i="1"/>
  <c r="O598" i="1"/>
  <c r="O181" i="1"/>
  <c r="O464" i="1"/>
  <c r="O578" i="1"/>
  <c r="O547" i="1"/>
  <c r="O401" i="1"/>
  <c r="O227" i="1"/>
  <c r="O490" i="1"/>
  <c r="O353" i="1"/>
  <c r="O626" i="1"/>
  <c r="O412" i="1"/>
  <c r="O707" i="1"/>
  <c r="O650" i="1"/>
  <c r="O708" i="1"/>
  <c r="O196" i="1"/>
  <c r="O570" i="1"/>
  <c r="O566" i="1"/>
  <c r="O679" i="1"/>
  <c r="O663" i="1"/>
  <c r="O609" i="1"/>
  <c r="O674" i="1"/>
  <c r="O676" i="1"/>
  <c r="O521" i="1"/>
  <c r="O693" i="1"/>
  <c r="O514" i="1"/>
  <c r="O701" i="1"/>
  <c r="O695" i="1"/>
  <c r="O320" i="1"/>
  <c r="O105" i="1"/>
  <c r="O362" i="1"/>
  <c r="O262" i="1"/>
  <c r="O116" i="1"/>
  <c r="O72" i="1"/>
  <c r="O137" i="1"/>
  <c r="O289" i="1"/>
  <c r="O469" i="1"/>
  <c r="O375" i="1"/>
  <c r="O123" i="1"/>
  <c r="O51" i="1"/>
  <c r="O285" i="1"/>
  <c r="O510" i="1"/>
  <c r="O268" i="1"/>
  <c r="O300" i="1"/>
  <c r="O273" i="1"/>
  <c r="O28" i="1"/>
  <c r="O388" i="1"/>
  <c r="O110" i="1"/>
  <c r="O334" i="1"/>
  <c r="O400" i="1"/>
  <c r="O343" i="1"/>
  <c r="O45" i="1"/>
  <c r="O665" i="1"/>
  <c r="O710" i="1"/>
  <c r="O694" i="1"/>
  <c r="O639" i="1"/>
  <c r="O465" i="1"/>
  <c r="O619" i="1"/>
  <c r="O683" i="1"/>
  <c r="O686" i="1"/>
  <c r="O672" i="1"/>
  <c r="O46" i="1"/>
  <c r="O475" i="1"/>
  <c r="O526" i="1"/>
  <c r="O724" i="1"/>
  <c r="O673" i="1"/>
  <c r="O301" i="1"/>
  <c r="O581" i="1"/>
  <c r="O471" i="1"/>
  <c r="O718" i="1"/>
  <c r="O723" i="1"/>
  <c r="O714" i="1"/>
  <c r="O576" i="1"/>
  <c r="O702" i="1"/>
  <c r="O630" i="1"/>
  <c r="O709" i="1"/>
  <c r="O610" i="1"/>
  <c r="O698" i="1"/>
  <c r="O722" i="1"/>
  <c r="O537" i="1"/>
  <c r="O292" i="1"/>
  <c r="O555" i="1"/>
  <c r="O126" i="1"/>
  <c r="O111" i="1"/>
  <c r="O58" i="1"/>
  <c r="O3" i="1"/>
  <c r="O310" i="1"/>
  <c r="O586" i="1"/>
  <c r="O145" i="1"/>
  <c r="O132" i="1"/>
  <c r="O174" i="1"/>
  <c r="O699" i="1"/>
  <c r="O703" i="1"/>
  <c r="O234" i="1"/>
  <c r="O653" i="1"/>
  <c r="O290" i="1"/>
  <c r="E49" i="1"/>
  <c r="E88" i="1"/>
  <c r="E11" i="1"/>
  <c r="E43" i="1"/>
  <c r="E131" i="1"/>
  <c r="E151" i="1"/>
  <c r="E153" i="1"/>
  <c r="E104" i="1"/>
  <c r="E296" i="1"/>
  <c r="E658" i="1"/>
  <c r="E516" i="1"/>
  <c r="E294" i="1"/>
  <c r="E543" i="1"/>
  <c r="E236" i="1"/>
  <c r="E444" i="1"/>
  <c r="E419" i="1"/>
  <c r="E396" i="1"/>
  <c r="E352" i="1"/>
  <c r="E593" i="1"/>
  <c r="E615" i="1"/>
  <c r="E127" i="1"/>
  <c r="E376" i="1"/>
  <c r="E313" i="1"/>
  <c r="E355" i="1"/>
  <c r="E76" i="1"/>
  <c r="E406" i="1"/>
  <c r="E302" i="1"/>
  <c r="E73" i="1"/>
  <c r="E160" i="1"/>
  <c r="E92" i="1"/>
  <c r="E152" i="1"/>
  <c r="E288" i="1"/>
  <c r="E429" i="1"/>
  <c r="E253" i="1"/>
  <c r="E241" i="1"/>
  <c r="E365" i="1"/>
  <c r="E107" i="1"/>
  <c r="E286" i="1"/>
  <c r="E527" i="1"/>
  <c r="E597" i="1"/>
  <c r="E614" i="1"/>
  <c r="E223" i="1"/>
  <c r="E605" i="1"/>
  <c r="E138" i="1"/>
  <c r="E347" i="1"/>
  <c r="E109" i="1"/>
  <c r="E307" i="1"/>
  <c r="E460" i="1"/>
  <c r="E314" i="1"/>
  <c r="E237" i="1"/>
  <c r="E447" i="1"/>
  <c r="E450" i="1"/>
  <c r="E499" i="1"/>
  <c r="E474" i="1"/>
  <c r="E315" i="1"/>
  <c r="E496" i="1"/>
  <c r="E462" i="1"/>
  <c r="E208" i="1"/>
  <c r="E498" i="1"/>
  <c r="E636" i="1"/>
  <c r="E551" i="1"/>
  <c r="E662" i="1"/>
  <c r="E596" i="1"/>
  <c r="E669" i="1"/>
  <c r="E378" i="1"/>
  <c r="E431" i="1"/>
  <c r="E402" i="1"/>
  <c r="E224" i="1"/>
  <c r="E278" i="1"/>
  <c r="E192" i="1"/>
  <c r="E44" i="1"/>
  <c r="E80" i="1"/>
  <c r="E265" i="1"/>
  <c r="E261" i="1"/>
  <c r="E282" i="1"/>
  <c r="E454" i="1"/>
  <c r="E239" i="1"/>
  <c r="E20" i="1"/>
  <c r="E57" i="1"/>
  <c r="E203" i="1"/>
  <c r="E235" i="1"/>
  <c r="E587" i="1"/>
  <c r="E30" i="1"/>
  <c r="E250" i="1"/>
  <c r="E97" i="1"/>
  <c r="E199" i="1"/>
  <c r="E175" i="1"/>
  <c r="E387" i="1"/>
  <c r="E416" i="1"/>
  <c r="E87" i="1"/>
  <c r="E356" i="1"/>
  <c r="E308" i="1"/>
  <c r="E182" i="1"/>
  <c r="E85" i="1"/>
  <c r="E271" i="1"/>
  <c r="E293" i="1"/>
  <c r="E369" i="1"/>
  <c r="E569" i="1"/>
  <c r="E197" i="1"/>
  <c r="E602" i="1"/>
  <c r="E215" i="1"/>
  <c r="E2" i="1"/>
  <c r="E459" i="1"/>
  <c r="E274" i="1"/>
  <c r="E497" i="1"/>
  <c r="E225" i="1"/>
  <c r="E370" i="1"/>
  <c r="E682" i="1"/>
  <c r="E252" i="1"/>
  <c r="E254" i="1"/>
  <c r="E577" i="1"/>
  <c r="E589" i="1"/>
  <c r="E424" i="1"/>
  <c r="E40" i="1"/>
  <c r="E249" i="1"/>
  <c r="E640" i="1"/>
  <c r="E515" i="1"/>
  <c r="E201" i="1"/>
  <c r="E93" i="1"/>
  <c r="E185" i="1"/>
  <c r="E5" i="1"/>
  <c r="E14" i="1"/>
  <c r="E435" i="1"/>
  <c r="E326" i="1"/>
  <c r="E212" i="1"/>
  <c r="E248" i="1"/>
  <c r="E120" i="1"/>
  <c r="E533" i="1"/>
  <c r="E277" i="1"/>
  <c r="E21" i="1"/>
  <c r="E33" i="1"/>
  <c r="E563" i="1"/>
  <c r="E453" i="1"/>
  <c r="E54" i="1"/>
  <c r="E511" i="1"/>
  <c r="E483" i="1"/>
  <c r="E603" i="1"/>
  <c r="E612" i="1"/>
  <c r="E621" i="1"/>
  <c r="E159" i="1"/>
  <c r="E117" i="1"/>
  <c r="E96" i="1"/>
  <c r="E312" i="1"/>
  <c r="E38" i="1"/>
  <c r="E155" i="1"/>
  <c r="E186" i="1"/>
  <c r="E423" i="1"/>
  <c r="E379" i="1"/>
  <c r="E69" i="1"/>
  <c r="E31" i="1"/>
  <c r="E244" i="1"/>
  <c r="E351" i="1"/>
  <c r="E178" i="1"/>
  <c r="E63" i="1"/>
  <c r="E35" i="1"/>
  <c r="E393" i="1"/>
  <c r="E143" i="1"/>
  <c r="E350" i="1"/>
  <c r="E32" i="1"/>
  <c r="E232" i="1"/>
  <c r="E163" i="1"/>
  <c r="E102" i="1"/>
  <c r="E122" i="1"/>
  <c r="E71" i="1"/>
  <c r="E311" i="1"/>
  <c r="E565" i="1"/>
  <c r="E684" i="1"/>
  <c r="E538" i="1"/>
  <c r="E588" i="1"/>
  <c r="E654" i="1"/>
  <c r="E649" i="1"/>
  <c r="E144" i="1"/>
  <c r="E403" i="1"/>
  <c r="E530" i="1"/>
  <c r="E646" i="1"/>
  <c r="E535" i="1"/>
  <c r="E264" i="1"/>
  <c r="E291" i="1"/>
  <c r="E476" i="1"/>
  <c r="E617" i="1"/>
  <c r="E384" i="1"/>
  <c r="E190" i="1"/>
  <c r="E618" i="1"/>
  <c r="E539" i="1"/>
  <c r="E560" i="1"/>
  <c r="E668" i="1"/>
  <c r="E579" i="1"/>
  <c r="E631" i="1"/>
  <c r="E613" i="1"/>
  <c r="E607" i="1"/>
  <c r="E715" i="1"/>
  <c r="E216" i="1"/>
  <c r="E306" i="1"/>
  <c r="E651" i="1"/>
  <c r="E690" i="1"/>
  <c r="E659" i="1"/>
  <c r="E522" i="1"/>
  <c r="E344" i="1"/>
  <c r="E263" i="1"/>
  <c r="E82" i="1"/>
  <c r="E342" i="1"/>
  <c r="E548" i="1"/>
  <c r="E545" i="1"/>
  <c r="E600" i="1"/>
  <c r="E622" i="1"/>
  <c r="E371" i="1"/>
  <c r="E260" i="1"/>
  <c r="E488" i="1"/>
  <c r="E270" i="1"/>
  <c r="E81" i="1"/>
  <c r="E167" i="1"/>
  <c r="E422" i="1"/>
  <c r="E427" i="1"/>
  <c r="E457" i="1"/>
  <c r="E456" i="1"/>
  <c r="E480" i="1"/>
  <c r="E455" i="1"/>
  <c r="E238" i="1"/>
  <c r="E133" i="1"/>
  <c r="E115" i="1"/>
  <c r="E380" i="1"/>
  <c r="E243" i="1"/>
  <c r="E599" i="1"/>
  <c r="E493" i="1"/>
  <c r="E595" i="1"/>
  <c r="E504" i="1"/>
  <c r="E556" i="1"/>
  <c r="E644" i="1"/>
  <c r="E611" i="1"/>
  <c r="E436" i="1"/>
  <c r="E183" i="1"/>
  <c r="E204" i="1"/>
  <c r="E134" i="1"/>
  <c r="E48" i="1"/>
  <c r="E59" i="1"/>
  <c r="E37" i="1"/>
  <c r="E23" i="1"/>
  <c r="E75" i="1"/>
  <c r="E67" i="1"/>
  <c r="E95" i="1"/>
  <c r="E467" i="1"/>
  <c r="E22" i="1"/>
  <c r="E443" i="1"/>
  <c r="E84" i="1"/>
  <c r="E439" i="1"/>
  <c r="E641" i="1"/>
  <c r="E405" i="1"/>
  <c r="E425" i="1"/>
  <c r="E354" i="1"/>
  <c r="E486" i="1"/>
  <c r="E573" i="1"/>
  <c r="E34" i="1"/>
  <c r="E280" i="1"/>
  <c r="E448" i="1"/>
  <c r="E348" i="1"/>
  <c r="E173" i="1"/>
  <c r="E275" i="1"/>
  <c r="E534" i="1"/>
  <c r="E513" i="1"/>
  <c r="E385" i="1"/>
  <c r="E624" i="1"/>
  <c r="E590" i="1"/>
  <c r="E620" i="1"/>
  <c r="E509" i="1"/>
  <c r="E56" i="1"/>
  <c r="E70" i="1"/>
  <c r="E119" i="1"/>
  <c r="E373" i="1"/>
  <c r="E338" i="1"/>
  <c r="E195" i="1"/>
  <c r="E477" i="1"/>
  <c r="E524" i="1"/>
  <c r="E364" i="1"/>
  <c r="E168" i="1"/>
  <c r="E281" i="1"/>
  <c r="E407" i="1"/>
  <c r="E94" i="1"/>
  <c r="E139" i="1"/>
  <c r="E188" i="1"/>
  <c r="E346" i="1"/>
  <c r="E86" i="1"/>
  <c r="E318" i="1"/>
  <c r="E284" i="1"/>
  <c r="E531" i="1"/>
  <c r="E449" i="1"/>
  <c r="E349" i="1"/>
  <c r="E157" i="1"/>
  <c r="E27" i="1"/>
  <c r="E409" i="1"/>
  <c r="E68" i="1"/>
  <c r="E50" i="1"/>
  <c r="E340" i="1"/>
  <c r="E440" i="1"/>
  <c r="E451" i="1"/>
  <c r="E426" i="1"/>
  <c r="E529" i="1"/>
  <c r="E317" i="1"/>
  <c r="E256" i="1"/>
  <c r="E500" i="1"/>
  <c r="E632" i="1"/>
  <c r="E441" i="1"/>
  <c r="E9" i="1"/>
  <c r="E389" i="1"/>
  <c r="E218" i="1"/>
  <c r="E221" i="1"/>
  <c r="E226" i="1"/>
  <c r="E432" i="1"/>
  <c r="E321" i="1"/>
  <c r="E399" i="1"/>
  <c r="E417" i="1"/>
  <c r="E525" i="1"/>
  <c r="E492" i="1"/>
  <c r="E363" i="1"/>
  <c r="E211" i="1"/>
  <c r="E16" i="1"/>
  <c r="E213" i="1"/>
  <c r="E47" i="1"/>
  <c r="E520" i="1"/>
  <c r="E585" i="1"/>
  <c r="E149" i="1"/>
  <c r="E172" i="1"/>
  <c r="E325" i="1"/>
  <c r="E7" i="1"/>
  <c r="E64" i="1"/>
  <c r="E470" i="1"/>
  <c r="E4" i="1"/>
  <c r="E169" i="1"/>
  <c r="E79" i="1"/>
  <c r="E458" i="1"/>
  <c r="E430" i="1"/>
  <c r="E473" i="1"/>
  <c r="E187" i="1"/>
  <c r="E336" i="1"/>
  <c r="E627" i="1"/>
  <c r="E164" i="1"/>
  <c r="E647" i="1"/>
  <c r="E666" i="1"/>
  <c r="E341" i="1"/>
  <c r="E635" i="1"/>
  <c r="E670" i="1"/>
  <c r="E601" i="1"/>
  <c r="E487" i="1"/>
  <c r="E638" i="1"/>
  <c r="E692" i="1"/>
  <c r="E655" i="1"/>
  <c r="E678" i="1"/>
  <c r="E713" i="1"/>
  <c r="E113" i="1"/>
  <c r="E685" i="1"/>
  <c r="E523" i="1"/>
  <c r="E675" i="1"/>
  <c r="E716" i="1"/>
  <c r="E680" i="1"/>
  <c r="E100" i="1"/>
  <c r="E583" i="1"/>
  <c r="E696" i="1"/>
  <c r="E657" i="1"/>
  <c r="E528" i="1"/>
  <c r="E418" i="1"/>
  <c r="E209" i="1"/>
  <c r="E720" i="1"/>
  <c r="E725" i="1"/>
  <c r="E161" i="1"/>
  <c r="E717" i="1"/>
  <c r="E404" i="1"/>
  <c r="E564" i="1"/>
  <c r="E726" i="1"/>
  <c r="E495" i="1"/>
  <c r="E52" i="1"/>
  <c r="E198" i="1"/>
  <c r="E411" i="1"/>
  <c r="E60" i="1"/>
  <c r="E359" i="1"/>
  <c r="E184" i="1"/>
  <c r="E101" i="1"/>
  <c r="E505" i="1"/>
  <c r="E335" i="1"/>
  <c r="E386" i="1"/>
  <c r="E242" i="1"/>
  <c r="E231" i="1"/>
  <c r="E177" i="1"/>
  <c r="E171" i="1"/>
  <c r="E466" i="1"/>
  <c r="E156" i="1"/>
  <c r="E434" i="1"/>
  <c r="E594" i="1"/>
  <c r="E518" i="1"/>
  <c r="E691" i="1"/>
  <c r="E228" i="1"/>
  <c r="E129" i="1"/>
  <c r="E12" i="1"/>
  <c r="E247" i="1"/>
  <c r="E202" i="1"/>
  <c r="E298" i="1"/>
  <c r="E491" i="1"/>
  <c r="E608" i="1"/>
  <c r="E519" i="1"/>
  <c r="E575" i="1"/>
  <c r="E667" i="1"/>
  <c r="E727" i="1"/>
  <c r="E689" i="1"/>
  <c r="E677" i="1"/>
  <c r="E700" i="1"/>
  <c r="E704" i="1"/>
  <c r="E637" i="1"/>
  <c r="E711" i="1"/>
  <c r="E147" i="1"/>
  <c r="E62" i="1"/>
  <c r="E554" i="1"/>
  <c r="E179" i="1"/>
  <c r="E472" i="1"/>
  <c r="E728" i="1"/>
  <c r="E484" i="1"/>
  <c r="E103" i="1"/>
  <c r="E648" i="1"/>
  <c r="E382" i="1"/>
  <c r="E481" i="1"/>
  <c r="E681" i="1"/>
  <c r="E582" i="1"/>
  <c r="E572" i="1"/>
  <c r="E661" i="1"/>
  <c r="E721" i="1"/>
  <c r="E706" i="1"/>
  <c r="E705" i="1"/>
  <c r="E642" i="1"/>
  <c r="E557" i="1"/>
  <c r="E671" i="1"/>
  <c r="E158" i="1"/>
  <c r="E141" i="1"/>
  <c r="E150" i="1"/>
  <c r="E24" i="1"/>
  <c r="E206" i="1"/>
  <c r="E205" i="1"/>
  <c r="E544" i="1"/>
  <c r="E210" i="1"/>
  <c r="E74" i="1"/>
  <c r="E36" i="1"/>
  <c r="E421" i="1"/>
  <c r="E546" i="1"/>
  <c r="E83" i="1"/>
  <c r="E645" i="1"/>
  <c r="E398" i="1"/>
  <c r="E269" i="1"/>
  <c r="E222" i="1"/>
  <c r="E108" i="1"/>
  <c r="E367" i="1"/>
  <c r="E39" i="1"/>
  <c r="E561" i="1"/>
  <c r="E616" i="1"/>
  <c r="E304" i="1"/>
  <c r="E6" i="1"/>
  <c r="E217" i="1"/>
  <c r="E18" i="1"/>
  <c r="E328" i="1"/>
  <c r="E162" i="1"/>
  <c r="E66" i="1"/>
  <c r="E503" i="1"/>
  <c r="E176" i="1"/>
  <c r="E452" i="1"/>
  <c r="E604" i="1"/>
  <c r="E660" i="1"/>
  <c r="E259" i="1"/>
  <c r="E323" i="1"/>
  <c r="E330" i="1"/>
  <c r="E279" i="1"/>
  <c r="E372" i="1"/>
  <c r="E507" i="1"/>
  <c r="E437" i="1"/>
  <c r="E374" i="1"/>
  <c r="E445" i="1"/>
  <c r="E240" i="1"/>
  <c r="E629" i="1"/>
  <c r="E482" i="1"/>
  <c r="E712" i="1"/>
  <c r="E550" i="1"/>
  <c r="E410" i="1"/>
  <c r="E697" i="1"/>
  <c r="E420" i="1"/>
  <c r="E574" i="1"/>
  <c r="E194" i="1"/>
  <c r="E633" i="1"/>
  <c r="E128" i="1"/>
  <c r="E361" i="1"/>
  <c r="E390" i="1"/>
  <c r="E297" i="1"/>
  <c r="E8" i="1"/>
  <c r="E114" i="1"/>
  <c r="E408" i="1"/>
  <c r="E287" i="1"/>
  <c r="E413" i="1"/>
  <c r="E397" i="1"/>
  <c r="E506" i="1"/>
  <c r="E395" i="1"/>
  <c r="E433" i="1"/>
  <c r="E463" i="1"/>
  <c r="E664" i="1"/>
  <c r="E368" i="1"/>
  <c r="E200" i="1"/>
  <c r="E19" i="1"/>
  <c r="E461" i="1"/>
  <c r="E549" i="1"/>
  <c r="E446" i="1"/>
  <c r="E255" i="1"/>
  <c r="E251" i="1"/>
  <c r="E383" i="1"/>
  <c r="E245" i="1"/>
  <c r="E106" i="1"/>
  <c r="E98" i="1"/>
  <c r="E65" i="1"/>
  <c r="E540" i="1"/>
  <c r="E180" i="1"/>
  <c r="E592" i="1"/>
  <c r="E532" i="1"/>
  <c r="E580" i="1"/>
  <c r="E512" i="1"/>
  <c r="E494" i="1"/>
  <c r="E517" i="1"/>
  <c r="E628" i="1"/>
  <c r="E571" i="1"/>
  <c r="E552" i="1"/>
  <c r="E272" i="1"/>
  <c r="E360" i="1"/>
  <c r="E276" i="1"/>
  <c r="E479" i="1"/>
  <c r="E508" i="1"/>
  <c r="E559" i="1"/>
  <c r="E303" i="1"/>
  <c r="E478" i="1"/>
  <c r="E345" i="1"/>
  <c r="E61" i="1"/>
  <c r="E381" i="1"/>
  <c r="E91" i="1"/>
  <c r="E166" i="1"/>
  <c r="E329" i="1"/>
  <c r="E305" i="1"/>
  <c r="E148" i="1"/>
  <c r="E322" i="1"/>
  <c r="E316" i="1"/>
  <c r="E257" i="1"/>
  <c r="E140" i="1"/>
  <c r="E542" i="1"/>
  <c r="E606" i="1"/>
  <c r="E623" i="1"/>
  <c r="E501" i="1"/>
  <c r="E89" i="1"/>
  <c r="E337" i="1"/>
  <c r="E170" i="1"/>
  <c r="E219" i="1"/>
  <c r="E90" i="1"/>
  <c r="E165" i="1"/>
  <c r="E13" i="1"/>
  <c r="E78" i="1"/>
  <c r="E146" i="1"/>
  <c r="E136" i="1"/>
  <c r="E468" i="1"/>
  <c r="E358" i="1"/>
  <c r="E283" i="1"/>
  <c r="E124" i="1"/>
  <c r="E319" i="1"/>
  <c r="E125" i="1"/>
  <c r="E207" i="1"/>
  <c r="E339" i="1"/>
  <c r="E489" i="1"/>
  <c r="E309" i="1"/>
  <c r="E130" i="1"/>
  <c r="E415" i="1"/>
  <c r="E391" i="1"/>
  <c r="E118" i="1"/>
  <c r="E26" i="1"/>
  <c r="E25" i="1"/>
  <c r="E154" i="1"/>
  <c r="E719" i="1"/>
  <c r="E536" i="1"/>
  <c r="E688" i="1"/>
  <c r="E53" i="1"/>
  <c r="E121" i="1"/>
  <c r="E41" i="1"/>
  <c r="E142" i="1"/>
  <c r="E17" i="1"/>
  <c r="E10" i="1"/>
  <c r="E135" i="1"/>
  <c r="E55" i="1"/>
  <c r="E233" i="1"/>
  <c r="E333" i="1"/>
  <c r="E267" i="1"/>
  <c r="E99" i="1"/>
  <c r="E442" i="1"/>
  <c r="E553" i="1"/>
  <c r="E392" i="1"/>
  <c r="E568" i="1"/>
  <c r="E652" i="1"/>
  <c r="E558" i="1"/>
  <c r="E625" i="1"/>
  <c r="E324" i="1"/>
  <c r="E357" i="1"/>
  <c r="E327" i="1"/>
  <c r="E634" i="1"/>
  <c r="E331" i="1"/>
  <c r="E266" i="1"/>
  <c r="E414" i="1"/>
  <c r="E112" i="1"/>
  <c r="E189" i="1"/>
  <c r="E214" i="1"/>
  <c r="E428" i="1"/>
  <c r="E15" i="1"/>
  <c r="E366" i="1"/>
  <c r="E193" i="1"/>
  <c r="E246" i="1"/>
  <c r="E77" i="1"/>
  <c r="E332" i="1"/>
  <c r="E229" i="1"/>
  <c r="E299" i="1"/>
  <c r="E191" i="1"/>
  <c r="E584" i="1"/>
  <c r="E377" i="1"/>
  <c r="E394" i="1"/>
  <c r="E295" i="1"/>
  <c r="E643" i="1"/>
  <c r="E42" i="1"/>
  <c r="E591" i="1"/>
  <c r="E502" i="1"/>
  <c r="E485" i="1"/>
  <c r="E29" i="1"/>
  <c r="E687" i="1"/>
  <c r="E656" i="1"/>
  <c r="E220" i="1"/>
  <c r="E230" i="1"/>
  <c r="E562" i="1"/>
  <c r="E258" i="1"/>
  <c r="E438" i="1"/>
  <c r="E541" i="1"/>
  <c r="E567" i="1"/>
  <c r="E598" i="1"/>
  <c r="E181" i="1"/>
  <c r="E464" i="1"/>
  <c r="E578" i="1"/>
  <c r="E547" i="1"/>
  <c r="E401" i="1"/>
  <c r="E227" i="1"/>
  <c r="E490" i="1"/>
  <c r="E353" i="1"/>
  <c r="E626" i="1"/>
  <c r="E412" i="1"/>
  <c r="E707" i="1"/>
  <c r="E650" i="1"/>
  <c r="E708" i="1"/>
  <c r="E196" i="1"/>
  <c r="E570" i="1"/>
  <c r="E566" i="1"/>
  <c r="E679" i="1"/>
  <c r="E663" i="1"/>
  <c r="E609" i="1"/>
  <c r="E674" i="1"/>
  <c r="E676" i="1"/>
  <c r="E521" i="1"/>
  <c r="E693" i="1"/>
  <c r="E514" i="1"/>
  <c r="E701" i="1"/>
  <c r="E695" i="1"/>
  <c r="E320" i="1"/>
  <c r="E105" i="1"/>
  <c r="E362" i="1"/>
  <c r="E262" i="1"/>
  <c r="E116" i="1"/>
  <c r="E72" i="1"/>
  <c r="E137" i="1"/>
  <c r="E289" i="1"/>
  <c r="E469" i="1"/>
  <c r="E375" i="1"/>
  <c r="E123" i="1"/>
  <c r="E51" i="1"/>
  <c r="E285" i="1"/>
  <c r="E510" i="1"/>
  <c r="E268" i="1"/>
  <c r="E300" i="1"/>
  <c r="E273" i="1"/>
  <c r="E28" i="1"/>
  <c r="E388" i="1"/>
  <c r="E110" i="1"/>
  <c r="E334" i="1"/>
  <c r="E400" i="1"/>
  <c r="E343" i="1"/>
  <c r="E45" i="1"/>
  <c r="E665" i="1"/>
  <c r="E710" i="1"/>
  <c r="E694" i="1"/>
  <c r="E639" i="1"/>
  <c r="E465" i="1"/>
  <c r="E619" i="1"/>
  <c r="E683" i="1"/>
  <c r="E686" i="1"/>
  <c r="E672" i="1"/>
  <c r="E46" i="1"/>
  <c r="E475" i="1"/>
  <c r="E526" i="1"/>
  <c r="E724" i="1"/>
  <c r="E673" i="1"/>
  <c r="E301" i="1"/>
  <c r="E581" i="1"/>
  <c r="E471" i="1"/>
  <c r="E718" i="1"/>
  <c r="E723" i="1"/>
  <c r="E714" i="1"/>
  <c r="E576" i="1"/>
  <c r="E702" i="1"/>
  <c r="E630" i="1"/>
  <c r="E709" i="1"/>
  <c r="E610" i="1"/>
  <c r="E698" i="1"/>
  <c r="E722" i="1"/>
  <c r="E537" i="1"/>
  <c r="E292" i="1"/>
  <c r="E555" i="1"/>
  <c r="E126" i="1"/>
  <c r="E111" i="1"/>
  <c r="E58" i="1"/>
  <c r="E3" i="1"/>
  <c r="E310" i="1"/>
  <c r="E586" i="1"/>
  <c r="E145" i="1"/>
  <c r="E132" i="1"/>
  <c r="E174" i="1"/>
  <c r="E699" i="1"/>
  <c r="E703" i="1"/>
  <c r="E234" i="1"/>
  <c r="E653" i="1"/>
  <c r="E290" i="1"/>
</calcChain>
</file>

<file path=xl/sharedStrings.xml><?xml version="1.0" encoding="utf-8"?>
<sst xmlns="http://schemas.openxmlformats.org/spreadsheetml/2006/main" count="5168" uniqueCount="1063">
  <si>
    <t>Audience Segment</t>
  </si>
  <si>
    <t>Creative Size</t>
  </si>
  <si>
    <t>Creative Messaging</t>
  </si>
  <si>
    <t>Location</t>
  </si>
  <si>
    <t>App/URL</t>
  </si>
  <si>
    <t>Exchange</t>
  </si>
  <si>
    <t>Device Make</t>
  </si>
  <si>
    <t>Impressions</t>
  </si>
  <si>
    <t>Clicks</t>
  </si>
  <si>
    <t>Viewable Impressions</t>
  </si>
  <si>
    <t>Measurable Impressions</t>
  </si>
  <si>
    <t>Total Conversions</t>
  </si>
  <si>
    <t>Gross Cost</t>
  </si>
  <si>
    <t>Online Behavior&gt;United States&gt;Validated Demographic ¬ª Gender and Age Combined&gt;Females 25 or older</t>
  </si>
  <si>
    <t>300x250</t>
  </si>
  <si>
    <t>Subscribe Today - 10% Discount</t>
  </si>
  <si>
    <t>Los Angeles, California</t>
  </si>
  <si>
    <t>abcnews.go.com</t>
  </si>
  <si>
    <t>Google Ad Manager</t>
  </si>
  <si>
    <t>Apple PC</t>
  </si>
  <si>
    <t>Online Behavior&gt;United States&gt;Finance ¬ª Financial Planning and Management&gt;Retirement and Pension</t>
  </si>
  <si>
    <t>320x50</t>
  </si>
  <si>
    <t>Sign up Today - 10% Off</t>
  </si>
  <si>
    <t>Orlando-Daytona Beach, Florida</t>
  </si>
  <si>
    <t>accuweather.com</t>
  </si>
  <si>
    <t>PubMatic</t>
  </si>
  <si>
    <t>Smartphone</t>
  </si>
  <si>
    <t>Online Behavior&gt;United States&gt;Hobbies and Leisure&gt;Outdoors ¬ª Equestrian</t>
  </si>
  <si>
    <t>San Francisco, California</t>
  </si>
  <si>
    <t>Online Behavior&gt;United States&gt;Intent ¬ª Auto Buyers ¬ª Car Make&gt;Audi Q</t>
  </si>
  <si>
    <t>Sign up Now - 10% Off</t>
  </si>
  <si>
    <t>Grand Rapids-Kalamazoo, Michigan</t>
  </si>
  <si>
    <t>Xandr - Monetize SSP (AppNexus)</t>
  </si>
  <si>
    <t>Online Behavior&gt;United States&gt;Beauty and Fitness&gt;Fitness ¬ª Fitness Instruction and Personal Training</t>
  </si>
  <si>
    <t>Chicago, Illinois</t>
  </si>
  <si>
    <t>Magnite DV+</t>
  </si>
  <si>
    <t>Online Behavior&gt;United States&gt;Autos and Vehicles ¬ª Brands&gt;Jeep</t>
  </si>
  <si>
    <t>Online Behavior&gt;United States&gt;Autos and Vehicles ¬ª Brands&gt;Mercedes-Benz</t>
  </si>
  <si>
    <t>Nashville, Tennessee</t>
  </si>
  <si>
    <t>Online Behavior&gt;United States&gt;Validated Demographic ¬ª Gender and Age Combined&gt;Males 18-54</t>
  </si>
  <si>
    <t>Online Behavior&gt;United States&gt;Validated Demographic ¬ª Age&gt;55-64</t>
  </si>
  <si>
    <t>10% Discount - Ends 6/1</t>
  </si>
  <si>
    <t>Champaign &amp; Springfield-Decatur,Illinois</t>
  </si>
  <si>
    <t>US ¬ª Interest Propensities ¬ª Brands ¬ª Quick Service Restaurants</t>
  </si>
  <si>
    <t>Ft. Myers-Naples, Florida</t>
  </si>
  <si>
    <t>BidSwitch</t>
  </si>
  <si>
    <t>US ¬ª B2B ¬ª B2B Decision Maker Responsibilities ¬ª Purchasing Utilities</t>
  </si>
  <si>
    <t>OpenX</t>
  </si>
  <si>
    <t>US ¬ª Interest Propensities ¬ª TV and Movies ¬ª Sports TV</t>
  </si>
  <si>
    <t>Yahoo Exchange</t>
  </si>
  <si>
    <t>Real Estate ¬ª Occupancy ¬ª Owner Occupied</t>
  </si>
  <si>
    <t>Windows PC</t>
  </si>
  <si>
    <t>US Financial ¬ª Likely Credit Card ¬ª Card in Own Name ¬ª Any major Credit/Debit Card (Financial)</t>
  </si>
  <si>
    <t>Online Behavior&gt;United States&gt;People and Society&gt;Millennials</t>
  </si>
  <si>
    <t>Miami-Ft. Lauderdale, Florida</t>
  </si>
  <si>
    <t>OnAudience ¬ª Intent ¬ª Electronics ¬ª Video ¬ª Televisions</t>
  </si>
  <si>
    <t>Online Behavior&gt;United States&gt;Arts and Entertainment&gt;Events and Listings ¬ª Bars, Clubs and Nightlife</t>
  </si>
  <si>
    <t>activebeat.com</t>
  </si>
  <si>
    <t>US ¬ª Interest Propensities ¬ª Activities and Interests ¬ª Local News</t>
  </si>
  <si>
    <t>US ¬ª Reach ¬ª Sociodemographic ¬ª Dwelling Type ¬ª Multi-family Dwelling Unit</t>
  </si>
  <si>
    <t>300x50</t>
  </si>
  <si>
    <t>OnAudience ¬ª Intent ¬ª Software ¬ª Video Game Software</t>
  </si>
  <si>
    <t>Online Behavior&gt;United States&gt;B2B ¬ª Occupation&gt;Musician</t>
  </si>
  <si>
    <t>ajc.com</t>
  </si>
  <si>
    <t>Lotame ¬ª Travel ¬ª Summer Travel</t>
  </si>
  <si>
    <t>Tampa-St Petersburg (Sarasota), Florida</t>
  </si>
  <si>
    <t>US ¬ª Home and Garden Interests ¬ª Cooking ¬ª Food Enthusiasts</t>
  </si>
  <si>
    <t>US ¬ª Demo ¬ª Age ¬ª 55-64</t>
  </si>
  <si>
    <t>Online Behavior&gt;United States&gt;Intent ¬ª Auto Buyers ¬ª Type&gt;Luxury</t>
  </si>
  <si>
    <t>al.com</t>
  </si>
  <si>
    <t>US ¬ª Brand Propensities ¬ª Media and Entertainment ¬ª wwe.com Buyer Propensity</t>
  </si>
  <si>
    <t>allrecipes.com</t>
  </si>
  <si>
    <t>Online Behavior&gt;United States&gt;Sports&gt;Sports League ¬ª NFL</t>
  </si>
  <si>
    <t>alotfinance.com</t>
  </si>
  <si>
    <t>Online Behavior&gt;United States&gt;Intent ¬ª Auto Buyers ¬ª Car Make&gt;Volkswagen</t>
  </si>
  <si>
    <t>androidauthority.com</t>
  </si>
  <si>
    <t>US ¬ª B2B ¬ª B2B Decision Maker Responsibilities ¬ª Financial Services</t>
  </si>
  <si>
    <t>New York City, New York</t>
  </si>
  <si>
    <t>androidpolice.com</t>
  </si>
  <si>
    <t>Taboola</t>
  </si>
  <si>
    <t>Online Behavior&gt;United States&gt;Sports&gt;Team Sports ¬ª Basketball</t>
  </si>
  <si>
    <t>aol.com</t>
  </si>
  <si>
    <t>US ¬ª Interest Propensities ¬ª Music ¬ª Country</t>
  </si>
  <si>
    <t>Jacksonville, Florida</t>
  </si>
  <si>
    <t>Media and Entertainment ¬ª Sports and Recreational Activities ¬ª Interest (Affinity) ¬ª Team Sports ¬ª Baseball ¬ª Major League Baseball (MLB)</t>
  </si>
  <si>
    <t>Online Behavior&gt;United States&gt;Beauty and Fitness&gt;Face and Body Care ¬ª Skin and Nail Care</t>
  </si>
  <si>
    <t>apnews.com</t>
  </si>
  <si>
    <t>US ¬ª Interest Propensities ¬ª Activities and Interests ¬ª Financial Aid</t>
  </si>
  <si>
    <t>Media and Entertainment ¬ª Sports and Recreational Activities ¬ª Interest (Affinity) ¬ª Olympics ¬ª Summer Olympics</t>
  </si>
  <si>
    <t>att.yahoo.com</t>
  </si>
  <si>
    <t>US ¬ª Demographic ¬ª Family ¬ª Female Head of Household</t>
  </si>
  <si>
    <t>Online Behavior&gt;United States&gt;Sports&gt;Sports League ¬ª MLB</t>
  </si>
  <si>
    <t>autotrader.com</t>
  </si>
  <si>
    <t>Online Behavior&gt;United States&gt;Autos and Vehicles ¬ª Brands&gt;Dodge</t>
  </si>
  <si>
    <t>West Palm Beach-Ft. Pierce, Florida</t>
  </si>
  <si>
    <t>US ¬ª Brand Propensities ¬ª Travel ¬ª Sandals Resorts Buyer Propensity</t>
  </si>
  <si>
    <t>Mobile - US ¬ª Shopping ¬ª Brand ¬ª Old Navy</t>
  </si>
  <si>
    <t>OnAudience ¬ª Intent ¬ª Animals &amp; Pet</t>
  </si>
  <si>
    <t>a-z-animals.com</t>
  </si>
  <si>
    <t>US ¬ª Multibuyer Behaviors ¬ª Paid with Credit Card</t>
  </si>
  <si>
    <t>baseball.fantasysports.yahoo.com</t>
  </si>
  <si>
    <t>US ¬ª Response Performance ¬ª Direct Marketing Responders</t>
  </si>
  <si>
    <t>baseball-reference.com</t>
  </si>
  <si>
    <t>Online Behavior&gt;United States&gt;Games&gt;Computer and Video Games</t>
  </si>
  <si>
    <t>bbc.com</t>
  </si>
  <si>
    <t>Online Behavior&gt;United States&gt;Finance ¬ª Insurance&gt;Home Insurance</t>
  </si>
  <si>
    <t>US ¬ª Reach ¬ª Sociodemographic ¬ª Dwelling Size ¬ª 1 Unit</t>
  </si>
  <si>
    <t>Online Behavior&gt;United States&gt;B2B ¬ª Occupation&gt;MechanicalEngineer</t>
  </si>
  <si>
    <t>US ¬ª Interest Propensities ¬ª Insurance ¬ª MassMutual</t>
  </si>
  <si>
    <t>US ¬ª Premium Gender ¬ª Premium Gender ¬ª Males</t>
  </si>
  <si>
    <t>behindthevoiceactors.com</t>
  </si>
  <si>
    <t>US ¬ª Reach ¬ª Propensity Models ¬ª Hobbies and Interest ¬ª Food and Drinks ¬ª Eats at Fast Food Restaurants</t>
  </si>
  <si>
    <t>bestbuy.com</t>
  </si>
  <si>
    <t>Online Behavior&gt;United States&gt;Travel&gt;Specialty Travel ¬ª Adventure Travel</t>
  </si>
  <si>
    <t>biblegateway.com</t>
  </si>
  <si>
    <t>Online Behavior&gt;United States&gt;Travel&gt;Tourist Destinations ¬ª Zoos-Aquariums-Preserves</t>
  </si>
  <si>
    <t>Index Exchange</t>
  </si>
  <si>
    <t>Online Behavior&gt;United States&gt;Sports&gt;Sports League ¬ª NBA</t>
  </si>
  <si>
    <t>Online Behavior&gt;United States&gt;Finance ¬ª Investing&gt;Derivatives</t>
  </si>
  <si>
    <t>Online Behavior&gt;United States&gt;Law and Government&gt;Public Safety</t>
  </si>
  <si>
    <t>Augusta, Georgia</t>
  </si>
  <si>
    <t>Online Behavior&gt;United States&gt;Jobs and Education&gt;Education</t>
  </si>
  <si>
    <t>Online Behavior&gt;United States&gt;Autos and Vehicles ¬ª Brands&gt;Ferrari</t>
  </si>
  <si>
    <t>Online Behavior&gt;United States&gt;News&gt;Sports News</t>
  </si>
  <si>
    <t>Telecommunications (Telco)</t>
  </si>
  <si>
    <t>Birmingham, Alabama</t>
  </si>
  <si>
    <t>US ¬ª B2B ¬ª Purchase DM ¬ª Technology Services, Hardware and ¬ª or Software ¬ª I have no input into the final decision</t>
  </si>
  <si>
    <t>US ¬ª Reach ¬ª Propensity Models ¬ª Hobbies and Interest ¬ª Food and Drinks ¬ª Wine Lovers</t>
  </si>
  <si>
    <t>US ¬ª Brand Propensities ¬ª Travel ¬ª Choice Hotels Buyer Propensity</t>
  </si>
  <si>
    <t>OnAudience ¬ª Interest ¬ª Careers</t>
  </si>
  <si>
    <t>Flint-Saginaw-Bay City, Michigan</t>
  </si>
  <si>
    <t>US ¬ª Brand Propensities ¬ª Travel ¬ª Hotel Tonight Buyer Propensity</t>
  </si>
  <si>
    <t>OnAudience ¬ª Interest ¬ª Science ¬ª Weather Forecast</t>
  </si>
  <si>
    <t>Media and Entertainment ¬ª Sports and Recreational Activities ¬ª Interest (Affinity) ¬ª Motorsports</t>
  </si>
  <si>
    <t>Mobile - US ¬ª Travel ¬ª Destination ¬ª International Travelers ¬ª Frequent Travelers</t>
  </si>
  <si>
    <t>Smart RTB+ (Smartadserver)</t>
  </si>
  <si>
    <t>US Financial ¬ª Estimated Discretionary Spending (Financial) ¬ª Greater than $2,499</t>
  </si>
  <si>
    <t>biblestudytools.com</t>
  </si>
  <si>
    <t>US ¬ª AUTO ¬ª Primary Vehicle ¬ª New or Used ¬ª Pre-owned</t>
  </si>
  <si>
    <t>billboard.com</t>
  </si>
  <si>
    <t>Media and Entertainment ¬ª Gaming ¬ª Interest (Affinity) ¬ª Video Games</t>
  </si>
  <si>
    <t>Tallahassee, Florida-Thomasville, Georgia</t>
  </si>
  <si>
    <t>bleacherbreaker.com</t>
  </si>
  <si>
    <t>Online Behavior&gt;United States&gt;Games&gt;Card Games</t>
  </si>
  <si>
    <t>boattrader.com</t>
  </si>
  <si>
    <t>Online Behavior&gt;United States&gt;Autos and Vehicles ¬ª Brands&gt;Rolls-Royce</t>
  </si>
  <si>
    <t>Tri-Cities, Tennessee-Virginia</t>
  </si>
  <si>
    <t>US ¬ª Reach ¬ª Propensity Models ¬ª Hobbies and Interest ¬ª Photography</t>
  </si>
  <si>
    <t>Travel and Tourism ¬ª Interest (Affinity) ¬ª Destinations ¬ª North America</t>
  </si>
  <si>
    <t>South Bend-Elkhart, Indiana</t>
  </si>
  <si>
    <t>US ¬ª Reach ¬ª Sociodemographic ¬ª Estimated Current Home Value ¬ª $160,000-$199,999</t>
  </si>
  <si>
    <t>US ¬ªConnected Impulse-Shopper Audience</t>
  </si>
  <si>
    <t>boxrox.com</t>
  </si>
  <si>
    <t>US ¬ª Interest Propensities ¬ª Activities and Interests ¬ª International News</t>
  </si>
  <si>
    <t>Rockford, Illinois</t>
  </si>
  <si>
    <t>bridesblush.com</t>
  </si>
  <si>
    <t>Online Behavior&gt;United States&gt;Intent ¬ª Auto Buyers ¬ª Car Make&gt;Nissan</t>
  </si>
  <si>
    <t>britannica.com</t>
  </si>
  <si>
    <t>Online Behavior&gt;United States&gt;Life Event&gt;Bride</t>
  </si>
  <si>
    <t>businessinsider.com</t>
  </si>
  <si>
    <t>TripleLift</t>
  </si>
  <si>
    <t>Online Behavior&gt;United States&gt;Life Event&gt;Engagement</t>
  </si>
  <si>
    <t>Online Behavior&gt;United States&gt;The Changing Consumer&gt;Internet Connection</t>
  </si>
  <si>
    <t>Lotame ¬ª Personal Finance ¬ª Estate Planning</t>
  </si>
  <si>
    <t>Online Behavior&gt;United States&gt;Sports&gt;Team Sports ¬ª Volleyball</t>
  </si>
  <si>
    <t>buzzfeed.com</t>
  </si>
  <si>
    <t>Yieldmo</t>
  </si>
  <si>
    <t>Mobile - US ¬ª Food ¬ª Restaurant ¬ª Brand ¬ª Outback Steakhouse</t>
  </si>
  <si>
    <t>Online Behavior&gt;United States&gt;Sports&gt;Sporting Goods</t>
  </si>
  <si>
    <t>calculator.net</t>
  </si>
  <si>
    <t>Online Behavior&gt;United States&gt;News&gt;Newspapers</t>
  </si>
  <si>
    <t>Online Behavior&gt;United States&gt;Sports&gt;Winter Sports ¬ª Skiing and Snowboarding</t>
  </si>
  <si>
    <t>Knoxville, Tennessee</t>
  </si>
  <si>
    <t>US ¬ª Reach ¬ª Propensity Models ¬ª Household Consumer Expenditures ¬ª Home Office</t>
  </si>
  <si>
    <t>Mobile, Alabama-Pensacola, Florida</t>
  </si>
  <si>
    <t>OnAudience ¬ª Intent ¬ª Sporting Goods</t>
  </si>
  <si>
    <t>Online Behavior&gt;United States&gt;Intent ¬ª Shopping&gt;Consumer Electronics ¬ª Computers, Laptops</t>
  </si>
  <si>
    <t>cargurus.com</t>
  </si>
  <si>
    <t>Online Behavior&gt;United States&gt;Sports&gt;Fantasy Sports</t>
  </si>
  <si>
    <t>US ¬ª Interest Propensities ¬ª Oil &amp; Gas ¬ª QuickTrip</t>
  </si>
  <si>
    <t>Huntsville-Decatur (Florence), Alabama</t>
  </si>
  <si>
    <t>OnAudience ¬ª Interest ¬ª Shopping ¬ª Shopping Mall Buyers</t>
  </si>
  <si>
    <t>Memphis, Tennessee</t>
  </si>
  <si>
    <t>Sharethrough</t>
  </si>
  <si>
    <t>Online Behavior&gt;United States&gt;Law and Government&gt;Military</t>
  </si>
  <si>
    <t>cars.com</t>
  </si>
  <si>
    <t>Online Behavior&gt;United States&gt;Travel&gt;Bus and Rail</t>
  </si>
  <si>
    <t>Online Behavior&gt;United States&gt;Validated Demographic ¬ª Age&gt;18-64</t>
  </si>
  <si>
    <t>Online Behavior&gt;United States&gt;Validated Demographic ¬ª Gender and Age Combined&gt;Males 25-44</t>
  </si>
  <si>
    <t>Purchase Behaviors ¬ª Q2 Environmentally Concerned Shoppers</t>
  </si>
  <si>
    <t>Sovrn</t>
  </si>
  <si>
    <t>Travel and Tourism ¬ª Interest (Affinity) ¬ª Destinations ¬ª North America ¬ª United States</t>
  </si>
  <si>
    <t>Media and Entertainment ¬ª Connected TV and Over-the-Top (CTV and OTT) ¬ª Streaming Television and Film Viewership ¬ª OTT Movie Viewers ¬ª Genre ¬ª Crime Movie Streamers</t>
  </si>
  <si>
    <t>US Financial ¬ª Likely Attitude and Behavior ¬ª Bank Selection ¬ª Customer Service Very Important (Financial)</t>
  </si>
  <si>
    <t>carscoops.com</t>
  </si>
  <si>
    <t>Online Behavior&gt;United States&gt;Sports&gt;Individual Sports ¬ª Running and Walking</t>
  </si>
  <si>
    <t>cbsnews.com</t>
  </si>
  <si>
    <t>Online Behavior&gt;United States&gt;People and Society&gt;Family and Relationships ¬ª Parents</t>
  </si>
  <si>
    <t>Online Behavior&gt;United States&gt;Travel&gt;Tourist Destinations ¬ª Regional Parks and Gardens</t>
  </si>
  <si>
    <t>Online Behavior&gt;United States&gt;Autos and Vehicles ¬ª Brands&gt;Mazda</t>
  </si>
  <si>
    <t>Online Behavior&gt;United States&gt;Travel&gt;Tourist Destinations ¬ª Mountain and Ski Resorts</t>
  </si>
  <si>
    <t>Online Behavior&gt;United States&gt;Validated Demographic ¬ª Gender and Age Combined&gt;Females 45-54</t>
  </si>
  <si>
    <t>US ¬ª Reach ¬ª Propensity Models ¬ª Hobbies and Interest ¬ª Sports ¬ª Avid Runners</t>
  </si>
  <si>
    <t>Lansing, Michigan</t>
  </si>
  <si>
    <t>OnAudience ¬ª Interest ¬ª Business</t>
  </si>
  <si>
    <t>US ¬ª Reach ¬ª Propensity Models ¬ª Real Estate ¬ª Monthly Mortgage Payment ¬ª $800-$999</t>
  </si>
  <si>
    <t>US ¬ªGreen Consumer Audience</t>
  </si>
  <si>
    <t>US ¬ª Reach ¬ª Propensity Models ¬ª Household Consumer Expenditures ¬ª Lawn and Garden</t>
  </si>
  <si>
    <t>US Interest ¬ª Home ¬ª Home Improvement ¬ª Home Improvement Grouping</t>
  </si>
  <si>
    <t>Online Behavior&gt;United States&gt;Real Estate&gt;Apartments and Residential Rentals</t>
  </si>
  <si>
    <t>cbssports.com</t>
  </si>
  <si>
    <t>US ¬ª Reach ¬ª Propensity Models ¬ª Hobbies and Interest ¬ª Food and Drinks ¬ª High-end Spirit Drinkers</t>
  </si>
  <si>
    <t>OnAudience ¬ª Intent ¬ª Sporting Goods ¬ª Team Sports</t>
  </si>
  <si>
    <t>Charleston, South Carolina</t>
  </si>
  <si>
    <t>Online Behavior&gt;United States&gt;Validated Demographic ¬ª Age&gt;25-44</t>
  </si>
  <si>
    <t>cheapoair.com</t>
  </si>
  <si>
    <t>Media and Entertainment ¬ª Sports and Recreational Activities ¬ª Interest (Affinity)</t>
  </si>
  <si>
    <t>Online Behavior&gt;United States&gt;Travel&gt;Tourist Destinations ¬ª Beaches and Islands</t>
  </si>
  <si>
    <t>cheezburger.com</t>
  </si>
  <si>
    <t>Online Behavior&gt;United States&gt;The Changing Consumer&gt;Direct to Consumer</t>
  </si>
  <si>
    <t>Online Behavior&gt;United States&gt;Arts and Entertainment&gt;Music and Audio</t>
  </si>
  <si>
    <t>chicagotribune.com</t>
  </si>
  <si>
    <t>Online Behavior&gt;United States&gt;Autos and Vehicles ¬ª Brands&gt;Volvo</t>
  </si>
  <si>
    <t>chocolatecoveredkatie.com</t>
  </si>
  <si>
    <t>US ¬ª B2B ¬ª B2B Decision Maker Responsibilities ¬ª Company Liability or Insurance</t>
  </si>
  <si>
    <t>citationmachine.net</t>
  </si>
  <si>
    <t>US ¬ª Reach ¬ª Propensity Models ¬ª Luxury Home Goods Store Shopper</t>
  </si>
  <si>
    <t>classmates.com</t>
  </si>
  <si>
    <t>US ¬ª B2B ¬ª B2B Decision Maker Responsibilities ¬ª Employee Benefits</t>
  </si>
  <si>
    <t>US ¬ª Brand Propensities ¬ª Travel ¬ª American Airlines Buyer Propensity</t>
  </si>
  <si>
    <t>PulsePoint</t>
  </si>
  <si>
    <t>OnAudience</t>
  </si>
  <si>
    <t>clutchpoints.com</t>
  </si>
  <si>
    <t>Media and Entertainment ¬ª Audio and Video Streaming ¬ª Streaming Audio</t>
  </si>
  <si>
    <t>cnbc.com</t>
  </si>
  <si>
    <t>US ¬ªRural Improvement Fanatic</t>
  </si>
  <si>
    <t>Online Behavior&gt;United States&gt;Sports&gt;Sports League ¬ª Premier League</t>
  </si>
  <si>
    <t>cnet.com</t>
  </si>
  <si>
    <t>Online Behavior&gt;United States&gt;The Changing Consumer&gt;Gaming Equipment</t>
  </si>
  <si>
    <t>Chattanooga, Tennessee</t>
  </si>
  <si>
    <t>Online Behavior&gt;United States&gt;Travel&gt;Travel</t>
  </si>
  <si>
    <t>cnn.com</t>
  </si>
  <si>
    <t>Online Behavior&gt;United States&gt;Beauty and Fitness&gt;Face and Body Care ¬ª Unwanted Body and Facial Hair Removal</t>
  </si>
  <si>
    <t>Online Behavior&gt;United States&gt;Intent ¬ª Auto Buyers ¬ª Car Make&gt;Toyota</t>
  </si>
  <si>
    <t>Online Behavior&gt;United States&gt;Food and Drink&gt;Restaurants ¬ª Dining Guides</t>
  </si>
  <si>
    <t>Media and Entertainment ¬ª Music</t>
  </si>
  <si>
    <t>OnAudience ¬ª Interest ¬ª Technology</t>
  </si>
  <si>
    <t>US ¬ª Interest Propensities ¬ª Social ¬ª Premium User Generated Content</t>
  </si>
  <si>
    <t>OnAudience ¬ª Interest ¬ª Business ¬ª Economy</t>
  </si>
  <si>
    <t>US ¬ª Reach ¬ª Propensity Models ¬ª Lifestyle ¬ª Charities ¬ª Contributes to Charities</t>
  </si>
  <si>
    <t>commercialappeal.com</t>
  </si>
  <si>
    <t>US ¬ª Reach ¬ª Propensity Models ¬ª Household Consumer Expenditures ¬ª Kitchen</t>
  </si>
  <si>
    <t>culinaryhill.com</t>
  </si>
  <si>
    <t>Online Behavior&gt;United States&gt;Finance ¬ª Financial Planning and Management&gt;Asset and Portfolio Management</t>
  </si>
  <si>
    <t>culturess.com</t>
  </si>
  <si>
    <t>Online Behavior&gt;United States&gt;B2B ¬ª Occupation&gt;OfficeManager</t>
  </si>
  <si>
    <t>dafont.com</t>
  </si>
  <si>
    <t>Online Behavior&gt;United States&gt;Intent ¬ª Shopping&gt;CPGª Grocery</t>
  </si>
  <si>
    <t>dailybee.com</t>
  </si>
  <si>
    <t>Online Behavior&gt;United States&gt;Intent ¬ª Auto Buyers ¬ª Car Make&gt;Hyundai</t>
  </si>
  <si>
    <t>daily-choices.com</t>
  </si>
  <si>
    <t>Online Behavior&gt;United States&gt;Validated Demographic ¬ª Gender and Age Combined&gt;Females 18-54</t>
  </si>
  <si>
    <t>Telecommunications (Telco) ¬ª Subscribers</t>
  </si>
  <si>
    <t>dailydot.com</t>
  </si>
  <si>
    <t>Online Behavior&gt;United States&gt;Finance ¬ª Banking&gt;ATMs and Branch Locations</t>
  </si>
  <si>
    <t>dailyhodl.com</t>
  </si>
  <si>
    <t>Online Behavior&gt;United States&gt;Intent ¬ª Travel&gt;Accommodation ¬ª Hotels</t>
  </si>
  <si>
    <t>dailymail.co.uk/news</t>
  </si>
  <si>
    <t>Online Behavior&gt;United States&gt;Home and Garden&gt;Homemaking and Interior Decor</t>
  </si>
  <si>
    <t>US ¬ª Sociodemographic ¬ª P$YCLE Premier Lifestage ¬ª M2 Wealthy Achievers</t>
  </si>
  <si>
    <t>dailymail.co.uk/tvshowbiz</t>
  </si>
  <si>
    <t>US ¬ª Brand Propensities ¬ª Health ¬ª Beauty and Cosmetics ¬ª Bare Escentuals Buyer Propensity</t>
  </si>
  <si>
    <t>Ft. Wayne, Indiana</t>
  </si>
  <si>
    <t>Mobile - US ¬ª Device Ownership ¬ª Smartphones ¬ª Huawei</t>
  </si>
  <si>
    <t>Online Behavior&gt;United States&gt;Internet and Telecom&gt;Email and Messaging</t>
  </si>
  <si>
    <t>dexerto.com</t>
  </si>
  <si>
    <t>Online Behavior&gt;United States&gt;Travel&gt;Car Rental and Taxi Services</t>
  </si>
  <si>
    <t>dictionary.com</t>
  </si>
  <si>
    <t>Mobile - US ¬ª Food ¬ª Restaurant ¬ª Style ¬ª Desserts</t>
  </si>
  <si>
    <t>US ¬ª AUTO ¬ª Primary Vehicle ¬ª New or Used ¬ª New</t>
  </si>
  <si>
    <t>dinneratthezoo.com</t>
  </si>
  <si>
    <t>US ¬ª B2B ¬ª B2B Decision Maker Responsibilities ¬ª Advertising Services</t>
  </si>
  <si>
    <t>dmv.org</t>
  </si>
  <si>
    <t>Online Behavior&gt;United States&gt;Intent ¬ª Travel&gt;Cruises</t>
  </si>
  <si>
    <t>doctoreport.com</t>
  </si>
  <si>
    <t>US ¬ª B2B ¬ª B2B Decision Maker Responsibilities ¬ª Accounting or Tax Services</t>
  </si>
  <si>
    <t>doodle.com</t>
  </si>
  <si>
    <t>Online Behavior&gt;United States&gt;Beauty and Fitness&gt;Cosmetology and Beauty Professionals</t>
  </si>
  <si>
    <t>dotesports.com</t>
  </si>
  <si>
    <t>Online Behavior&gt;United States&gt;Finance ¬ª Insurance&gt;Life Insurance</t>
  </si>
  <si>
    <t>drugs.com</t>
  </si>
  <si>
    <t>Online Behavior&gt;United States&gt;Food and Drink&gt;Food and Grocery Retailers</t>
  </si>
  <si>
    <t>Online Behavior&gt;United States&gt;Intent ¬ª Shopping&gt;Drug Stores ¬ª CVS</t>
  </si>
  <si>
    <t>US ¬ª Composite Segment ¬ª Women Born to Shop</t>
  </si>
  <si>
    <t>Real Estate ¬ª Rent Amount ¬ª Sensible  Rentals ($1000-$3000)</t>
  </si>
  <si>
    <t>Online Behavior&gt;United States&gt;Finance ¬ª Credit and Lending&gt;Loans</t>
  </si>
  <si>
    <t>ebay.com</t>
  </si>
  <si>
    <t>Online Behavior&gt;United States&gt;Finance ¬ª Banking&gt;Money Transfer and Wire Services</t>
  </si>
  <si>
    <t>Online Behavior&gt;United States&gt;Travel&gt;Tourist Destinations</t>
  </si>
  <si>
    <t>Online Behavior&gt;United States&gt;Finance ¬ª Investing&gt;Stocks and Bonds</t>
  </si>
  <si>
    <t>Online Behavior&gt;United States&gt;Life Event&gt;New Parent</t>
  </si>
  <si>
    <t>Online Behavior&gt;United States&gt;Hobbies and Leisure&gt;Outdoors ¬ª Hiking and Camping</t>
  </si>
  <si>
    <t>Online Behavior&gt;United States&gt;Intent ¬ª Financial Intent&gt;Loans and Credit</t>
  </si>
  <si>
    <t>Savannah, Georgia</t>
  </si>
  <si>
    <t>Online Behavior&gt;United States&gt;Real Estate&gt;Homeowner</t>
  </si>
  <si>
    <t>Online Behavior&gt;United States&gt;Arts and Entertainment&gt;Events and Listings ¬ª Film Festivals</t>
  </si>
  <si>
    <t>Online Behavior&gt;United States&gt;Travel&gt;Cruises and Charters</t>
  </si>
  <si>
    <t>Online Behavior&gt;United States&gt;B2B ¬ª Occupation&gt;Student</t>
  </si>
  <si>
    <t>Online Behavior&gt;United States&gt;Online Communities&gt;File Sharing and Hosting</t>
  </si>
  <si>
    <t>Online Behavior&gt;United States&gt;Autos and Vehicles ¬ª Brands&gt;LandRover</t>
  </si>
  <si>
    <t>Online Behavior&gt;United States&gt;Food and Drink&gt;Food and Grocery Delivery</t>
  </si>
  <si>
    <t>Online Behavior&gt;United States&gt;Sports&gt;Sports League ¬ª NHL</t>
  </si>
  <si>
    <t>Online Behavior&gt;United States&gt;Sports&gt;Water Sports ¬ª Surfing</t>
  </si>
  <si>
    <t>US ¬ª AUTO ¬ª Decision Maker for Auto Purchase ¬ª I shared equally in the decision</t>
  </si>
  <si>
    <t>US ¬ª B2B ¬ª B2B Decision Maker Responsibilities ¬ª Office Supplies or Equipment</t>
  </si>
  <si>
    <t>US ¬ª Reach ¬ª Propensity Models ¬ª Hobbies and Interest ¬ª Pets ¬ª Cat Owners</t>
  </si>
  <si>
    <t>OnAudience ¬ª Interest ¬ª Life Stage</t>
  </si>
  <si>
    <t>US ¬ª Interest Propensities ¬ª Activities and Interests ¬ª Fashion</t>
  </si>
  <si>
    <t>Mobile - US ¬ª Travel ¬ª Car Rentals ¬ª Hertz</t>
  </si>
  <si>
    <t>OnAudience ¬ª Interest ¬ª Arts &amp; Entertainment ¬ª Celebrity Fan ¬ª Gossip</t>
  </si>
  <si>
    <t>Mobile - US ¬ª Device Ownership ¬ª Smartphones ¬ª ZTE</t>
  </si>
  <si>
    <t>US ¬ª Brand Propensities ¬ª Health ¬ª Beauty and Cosmetics ¬ª SkinCareRx Buyer Propensity</t>
  </si>
  <si>
    <t>Mobile - US ¬ª Food ¬ª Restaurant ¬ª Brand ¬ª Five Guys</t>
  </si>
  <si>
    <t>US ¬ª Brand Propensities ¬ª Health ¬ª Beauty and Cosmetics ¬ª Mary Kay Buyer Propensity</t>
  </si>
  <si>
    <t>US Financial ¬ª Estimated Discretionary Spending ¬ª Greater than $2,500</t>
  </si>
  <si>
    <t>US ¬ª Interest Propensities ¬ª Insurance ¬ª Northwestern Mutual</t>
  </si>
  <si>
    <t>GumGum</t>
  </si>
  <si>
    <t>Transactional ¬ª Q2 Graduation Gift Shoppers</t>
  </si>
  <si>
    <t>OnAudience ¬ª Intent ¬ª Auto ¬ª Vehicle Parts &amp; Accessories</t>
  </si>
  <si>
    <t>Lotame ¬ª Offline CPG Purchasers ¬ª Product Segment ¬ª Home Supplies</t>
  </si>
  <si>
    <t>Media and Entertainment ¬ª Consumer Entertainment Technology</t>
  </si>
  <si>
    <t>editorsnation.com</t>
  </si>
  <si>
    <t>Online Behavior&gt;United States&gt;Autos and Vehicles ¬ª Brands&gt;Cadillac</t>
  </si>
  <si>
    <t>eenadu.net</t>
  </si>
  <si>
    <t>Lotame ¬ª Travel ¬ª International Travel</t>
  </si>
  <si>
    <t>eonline.com</t>
  </si>
  <si>
    <t>Online Behavior&gt;United States&gt;Validated Demographic ¬ª Gender and Age Combined&gt;Females 35-44</t>
  </si>
  <si>
    <t>espn.com</t>
  </si>
  <si>
    <t>Online Behavior&gt;United States&gt;B2B ¬ª Occupation&gt;SystemsAnalyst</t>
  </si>
  <si>
    <t>OnAudience ¬ª Interest ¬ª Personal Finance</t>
  </si>
  <si>
    <t>essentiallysports.com</t>
  </si>
  <si>
    <t>Mobile - US ¬ª Demographics ¬ª Education ¬ª Lowest Education Achievement</t>
  </si>
  <si>
    <t>Mobile - US ¬ª Food ¬ª Restaurant ¬ª Brand ¬ª Buffalo Wild Wings</t>
  </si>
  <si>
    <t>evite.com</t>
  </si>
  <si>
    <t>US Interest ¬ª Cooking ¬ª General</t>
  </si>
  <si>
    <t>ew.com</t>
  </si>
  <si>
    <t>Travel and Tourism ¬ª Interest (Affinity) ¬ª Destinations ¬ª Latin America</t>
  </si>
  <si>
    <t>factable.com</t>
  </si>
  <si>
    <t>Online Behavior&gt;United States&gt;Intent ¬ª Shopping&gt;Consumer Electronics ¬ª Video Game Consoles</t>
  </si>
  <si>
    <t>factinate.com</t>
  </si>
  <si>
    <t>Online Behavior&gt;United States&gt;Intent ¬ª Auto Buyers ¬ª Category&gt;Motorcycle</t>
  </si>
  <si>
    <t>fandom.com</t>
  </si>
  <si>
    <t>US Financial ¬ª Credit Card Type ¬ª Credit Card Holder - Unknown Type</t>
  </si>
  <si>
    <t>US ¬ª Brand Propensities ¬ª Travel ¬ª Booking.com Buyer Propensity</t>
  </si>
  <si>
    <t>US Financial ¬ª Estimated Disposable Income ¬ª $0 - $99,999</t>
  </si>
  <si>
    <t>Peoria-Bloomington, Illinois</t>
  </si>
  <si>
    <t>Online Behavior&gt;United States&gt;Autos and Vehicles&gt;Boats and Watercraft</t>
  </si>
  <si>
    <t>fandomwire.com</t>
  </si>
  <si>
    <t>Online Behavior&gt;United States&gt;Beauty and Fitness&gt;Fitness ¬ª Yoga and Pilates</t>
  </si>
  <si>
    <t>US ¬ª Reach ¬ª Propensity Models ¬ª Hobbies and Interest ¬ª Sports ¬ª Fitness Enthusiasts</t>
  </si>
  <si>
    <t>Online Behavior&gt;United States&gt;News&gt;Technology News</t>
  </si>
  <si>
    <t>femanin.com</t>
  </si>
  <si>
    <t>OnAudience ¬ª Interest ¬ª Sports</t>
  </si>
  <si>
    <t>Online Behavior&gt;United States&gt;Travel&gt;Air Travel</t>
  </si>
  <si>
    <t>finance.yahoo.com</t>
  </si>
  <si>
    <t>Online Behavior&gt;United States&gt;Beauty and Fitness&gt;Body Art</t>
  </si>
  <si>
    <t>Online Behavior&gt;United States&gt;Home and Garden&gt;Home Improvement</t>
  </si>
  <si>
    <t>Online Behavior&gt;United States&gt;News&gt;Business News</t>
  </si>
  <si>
    <t>Online Behavior&gt;United States&gt;Intent ¬ª Auto Buyers ¬ª Car Make&gt;Opel</t>
  </si>
  <si>
    <t>Online Behavior&gt;United States&gt;The Changing Consumer&gt;Active Facebook Users</t>
  </si>
  <si>
    <t>Online Behavior&gt;United States&gt;Validated Demographic ¬ª Gender and Age Combined&gt;Females 65 or older</t>
  </si>
  <si>
    <t>US ¬ª B2B ¬ª B2B Decision Maker Responsibilities ¬ª Computer Hardware</t>
  </si>
  <si>
    <t>US ¬ª Brand Propensities ¬ª Media and Entertainment ¬ª Regal Cinemas Buyer Propensity</t>
  </si>
  <si>
    <t>US ¬ª Premium Entertainment and Pastimes ¬ª Premium Magazine Enthusiasts</t>
  </si>
  <si>
    <t>Mobile - US ¬ª Device Ownership ¬ª Smartphones ¬ª iOS (Apple) ¬ª iPhone X</t>
  </si>
  <si>
    <t>Mobile - US ¬ª Device Ownership ¬ª Smartphones ¬ª iOS (Apple) ¬ª iPhone 11</t>
  </si>
  <si>
    <t>Online Behavior&gt;United States&gt;Games&gt;Family-Oriented Games and Activities</t>
  </si>
  <si>
    <t>findagrave.com</t>
  </si>
  <si>
    <t>Online Behavior&gt;United States&gt;Intent ¬ª Shopping&gt;Sports and Outdoors</t>
  </si>
  <si>
    <t>US ¬ª Reach ¬ª Propensity Models ¬ª Lifestyle ¬ª Loyalty Programs ¬ª Loyalty Card User</t>
  </si>
  <si>
    <t>Online Behavior&gt;United States&gt;Intent ¬ª Shopping&gt;Consumer Electronics ¬ª Tablets</t>
  </si>
  <si>
    <t>finviz.com</t>
  </si>
  <si>
    <t>Online Behavior&gt;United States&gt;Intent ¬ª Auto Buyers ¬ª Car Make&gt;BMW</t>
  </si>
  <si>
    <t>firstcoastnews.com</t>
  </si>
  <si>
    <t>Online Behavior&gt;United States&gt;Travel&gt;Tourist Destinations ¬ª Lakes and Rivers</t>
  </si>
  <si>
    <t>flightaware.com</t>
  </si>
  <si>
    <t>Online Behavior&gt;United States&gt;Online Communities&gt;Social Networks</t>
  </si>
  <si>
    <t>Online Behavior&gt;United States&gt;Online Communities&gt;Photo and Video Sharing</t>
  </si>
  <si>
    <t>Online Behavior&gt;United States&gt;Internet and Telecom&gt;Mobile and Wireless</t>
  </si>
  <si>
    <t>forbes.com</t>
  </si>
  <si>
    <t>Online Behavior&gt;United States&gt;Beauty and Fitness&gt;Fashion and Style ¬ª Fashion Modeling</t>
  </si>
  <si>
    <t>Online Behavior&gt;United States&gt;Games&gt;Educational Games</t>
  </si>
  <si>
    <t>Online Behavior&gt;United States&gt;Sports&gt;Motor Sports</t>
  </si>
  <si>
    <t>Online Behavior&gt;United States&gt;Autos and Vehicles ¬ª Brands&gt;BMW</t>
  </si>
  <si>
    <t>Online Behavior&gt;United States&gt;Food and Drink&gt;Beverages ¬ª Bottled Water</t>
  </si>
  <si>
    <t>US ¬ª Reach ¬ª Sociodemographic ¬ª Age ¬ª 45-49</t>
  </si>
  <si>
    <t>Real Estate ¬ª Sale Activity ¬ª Just Sold</t>
  </si>
  <si>
    <t>Lafayette, Indiana</t>
  </si>
  <si>
    <t>US ¬ª Sociodemographic ¬ª ConneXions Lifestage ¬ª F1 Early Adopting Elite</t>
  </si>
  <si>
    <t>OnAudience ¬ª Interest ¬ª Arts &amp; Entertainment ¬ª Television</t>
  </si>
  <si>
    <t>US Interest ¬ª Consumer Electronics</t>
  </si>
  <si>
    <t>US ¬ª Interest Propensities ¬ª Insurance ¬ª Unitedhealth Group</t>
  </si>
  <si>
    <t>US ¬ª B2B ¬ª B2B Decision Maker Responsibilities ¬ª Marketing or Market Research</t>
  </si>
  <si>
    <t>fortune.com</t>
  </si>
  <si>
    <t>Online Behavior&gt;United States&gt;Arts and Entertainment&gt;Comics and Animation</t>
  </si>
  <si>
    <t>fox59.com</t>
  </si>
  <si>
    <t>US ¬ª Interest Propensities ¬ª Insurance ¬ª Aetna Group</t>
  </si>
  <si>
    <t>foxbusiness.com</t>
  </si>
  <si>
    <t>Online Behavior&gt;United States&gt;Finance ¬ª Insurance&gt;Insurance</t>
  </si>
  <si>
    <t>foxnews.com</t>
  </si>
  <si>
    <t>Online Behavior&gt;United States&gt;Food and Drink&gt;Beverages ¬ª Coffee and Tea</t>
  </si>
  <si>
    <t>Online Behavior&gt;United States&gt;Intent ¬ª Auto Buyers ¬ª Car Make&gt;Ford</t>
  </si>
  <si>
    <t>Online Behavior&gt;United States&gt;Autos and Vehicles ¬ª Brands&gt;Maserati</t>
  </si>
  <si>
    <t>US ¬ª Reach ¬ª Sociodemographic ¬ª Homeowner Status ¬ª Renter</t>
  </si>
  <si>
    <t>US ¬ª B2B ¬ª B2B Decision Maker Responsibilities ¬ª HR or Personnel Services</t>
  </si>
  <si>
    <t>US ¬ª B2B ¬ª B2B Decision Maker Responsibilities ¬ª Sales</t>
  </si>
  <si>
    <t>Mobile - US ¬ª Travel ¬ª Vacation Rentals ¬ª HomeAway</t>
  </si>
  <si>
    <t>OnAudience ¬ª Interest ¬ª News ¬ª Local News</t>
  </si>
  <si>
    <t>OnAudience ¬ª Interest ¬ª Arts &amp; Entertainment ¬ª Music Lovers</t>
  </si>
  <si>
    <t>US ¬ª Sociodemographic ¬ª PRIZM Premier Social ¬ª T2 Country Comfort</t>
  </si>
  <si>
    <t>Online Behavior&gt;United States&gt;Arts and Entertainment&gt;Movies</t>
  </si>
  <si>
    <t>funnyand.com</t>
  </si>
  <si>
    <t>Online Behavior&gt;United States&gt;Intent ¬ª Shopping&gt;Consumer Electronics ¬ª Cameras and Photography Equip</t>
  </si>
  <si>
    <t>gameofglam.com</t>
  </si>
  <si>
    <t>Online Behavior&gt;United States&gt;Intent ¬ª Travel&gt;Business Travel</t>
  </si>
  <si>
    <t>gamerant.com</t>
  </si>
  <si>
    <t>US Home ¬ª Dwelling Type ¬ª Single-Family</t>
  </si>
  <si>
    <t>OnAudience ¬ª Interest ¬ª Games</t>
  </si>
  <si>
    <t>gamespot.com</t>
  </si>
  <si>
    <t>US ¬ª Response Performance ¬ª Direct Marketing Purchasers</t>
  </si>
  <si>
    <t>gamingbible.com</t>
  </si>
  <si>
    <t>Online Behavior&gt;United States&gt;Autos and Vehicles ¬ª Brands&gt;Saab</t>
  </si>
  <si>
    <t>Jackson, Mississippi</t>
  </si>
  <si>
    <t>geeksforgeeks.org</t>
  </si>
  <si>
    <t>Online Behavior&gt;United States&gt;Hobbies and Leisure&gt;Contests, Awards and Prizes</t>
  </si>
  <si>
    <t>Online Behavior&gt;United States&gt;The Changing Consumer&gt;B2B Work from Home</t>
  </si>
  <si>
    <t>US ¬ª Sociodemographic ¬ª ConneXions Lifestage ¬ª M3 Offline Seniors</t>
  </si>
  <si>
    <t>US ¬ª Brand Propensities ¬ª Apparel ¬ª JCPenney Buyer Propensity</t>
  </si>
  <si>
    <t>greatschools.org</t>
  </si>
  <si>
    <t>OnAudience ¬ª Interest ¬ª News ¬ª National News</t>
  </si>
  <si>
    <t>greedyfinance.com</t>
  </si>
  <si>
    <t>US ¬ª Reach ¬ª Propensity Models ¬ª Hobbies and Interest ¬ª Sports ¬ª Plays Soccer</t>
  </si>
  <si>
    <t>health.usnews.com</t>
  </si>
  <si>
    <t>Online Behavior&gt;United States&gt;People and Society&gt;Seniors and Retirement</t>
  </si>
  <si>
    <t>healthline.com</t>
  </si>
  <si>
    <t>Media Source</t>
  </si>
  <si>
    <t>healthyrecipesblogs.com</t>
  </si>
  <si>
    <t>Mobile - US ¬ª Sports ¬ª Water Sports ¬ª Boating</t>
  </si>
  <si>
    <t>heraldweekly.com</t>
  </si>
  <si>
    <t>Online Behavior&gt;United States&gt;Autos and Vehicles&gt;Hybrid and Alternative Vehicles</t>
  </si>
  <si>
    <t>hindustantimes.com</t>
  </si>
  <si>
    <t>Mobile - US ¬ª Travel ¬ª Activity ¬ª Ski Travelers</t>
  </si>
  <si>
    <t>US ¬ª Sociodemographic ¬ª P$YCLE Premier Lifestage ¬ª M3 Upscale Empty Nests</t>
  </si>
  <si>
    <t>historyallday.com</t>
  </si>
  <si>
    <t>Online Behavior&gt;United States&gt;Intent ¬ª Auto Buyers ¬ª Car Make&gt;Dodge</t>
  </si>
  <si>
    <t>historycollection.com</t>
  </si>
  <si>
    <t>Online Behavior&gt;United States&gt;Intent ¬ª Auto Buyers ¬ª Type&gt;SUV</t>
  </si>
  <si>
    <t>homeaddict.io</t>
  </si>
  <si>
    <t>Online Behavior&gt;United States&gt;Validated Demographic ¬ª Age&gt;35-44</t>
  </si>
  <si>
    <t>homehacks.co</t>
  </si>
  <si>
    <t>US Demographic ¬ª Preferred Language ¬ª Individual ¬ª Non-Hispanic</t>
  </si>
  <si>
    <t>houseplans.net</t>
  </si>
  <si>
    <t>Online Behavior&gt;United States&gt;Arts and Entertainment&gt;Celebrities and Entertainment News</t>
  </si>
  <si>
    <t>icy-veins.com</t>
  </si>
  <si>
    <t>OnAudience ¬ª Intent ¬ª Education</t>
  </si>
  <si>
    <t>Online Behavior&gt;United States&gt;Intent ¬ª Auto Buyers ¬ª Car Make&gt;Mazda</t>
  </si>
  <si>
    <t>iflscience.com</t>
  </si>
  <si>
    <t>Online Behavior&gt;United States&gt;Validated Demographic ¬ª Gender and Age Combined&gt;Females 25-34</t>
  </si>
  <si>
    <t>ign.com</t>
  </si>
  <si>
    <t>OnAudience ¬ª Interest ¬ª Technology &amp; Computing ¬ª Internet Technology</t>
  </si>
  <si>
    <t>Panama City, Florida</t>
  </si>
  <si>
    <t>Mobile - US ¬ª Sports ¬ª UFC Fans</t>
  </si>
  <si>
    <t>Online Behavior&gt;United States&gt;Intent ¬ª Shopping&gt;Auto Parts Stores</t>
  </si>
  <si>
    <t>insider.com</t>
  </si>
  <si>
    <t>Online Behavior&gt;United States&gt;Autos and Vehicles ¬ª Brands&gt;Ford</t>
  </si>
  <si>
    <t>Lotame ¬ª Technology ¬ª Mobile Phones</t>
  </si>
  <si>
    <t>Online Behavior&gt;United States&gt;Autos and Vehicles ¬ª Brands&gt;Maybach</t>
  </si>
  <si>
    <t>insidethemagic.net</t>
  </si>
  <si>
    <t>Online Behavior&gt;United States&gt;The Changing Consumer&gt;Online Retailers</t>
  </si>
  <si>
    <t>investing.com</t>
  </si>
  <si>
    <t>Online Behavior&gt;United States&gt;Finance ¬ª Financial Planning and Management&gt;Inheritance and Estate Planning</t>
  </si>
  <si>
    <t>Lotame ¬ª Travel ¬ª Winter Holiday Travel</t>
  </si>
  <si>
    <t>US ¬ª Brand Propensities ¬ª Home and Household Goods ¬ª Pottery Barn Kids Buyer Propensity</t>
  </si>
  <si>
    <t>investmentguru.com</t>
  </si>
  <si>
    <t>Online Behavior&gt;United States&gt;Intent ¬ª Shopping&gt;Drug Stores</t>
  </si>
  <si>
    <t>investopedia.com</t>
  </si>
  <si>
    <t>Media and Entertainment ¬ª Sports and Recreational Activities ¬ª Interest (Affinity) ¬ª Individual Sports ¬ª Tennis and Racquet Sports</t>
  </si>
  <si>
    <t>US ¬ª Reach ¬ª Propensity Models ¬ª Hobbies and Interest ¬ª Sports ¬ª NBA Enthusiast</t>
  </si>
  <si>
    <t>jdpower.com</t>
  </si>
  <si>
    <t>Mobile - US ¬ª Device Ownership ¬ª Smartphones ¬ª Vivo</t>
  </si>
  <si>
    <t>Lotame ¬ª Style, Fashion &amp; Clothing ¬ª Women's Clothing Shoppers</t>
  </si>
  <si>
    <t>Online Behavior&gt;United States&gt;Intent ¬ª Shopping&gt;Office Supplies</t>
  </si>
  <si>
    <t>kbb.com</t>
  </si>
  <si>
    <t>Online Behavior&gt;United States&gt;Validated Demographic ¬ª Gender&gt;Male</t>
  </si>
  <si>
    <t>Online Behavior&gt;United States&gt;The Changing Consumer&gt;Home Cooking</t>
  </si>
  <si>
    <t>Online Behavior&gt;United States&gt;B2B ¬ª Occupation&gt;Teacher</t>
  </si>
  <si>
    <t>Online Behavior&gt;United States&gt;Finance ¬ª Accounting and Auditing&gt;Bookkeeping</t>
  </si>
  <si>
    <t>OnAudience ¬ª Interest ¬ª Arts &amp; Entertainment ¬ª Fine Art</t>
  </si>
  <si>
    <t>Lotame ¬ª Technology ¬ª Electronics &amp; Gadgets</t>
  </si>
  <si>
    <t>OnAudience ¬ª Intent ¬ª Toys &amp; Games</t>
  </si>
  <si>
    <t>Online Behavior&gt;United States&gt;Validated Demographic ¬ª Age&gt;25 or older</t>
  </si>
  <si>
    <t>kiplinger.com</t>
  </si>
  <si>
    <t>Lotame ¬ª Style, Fashion &amp; Clothing ¬ª Children's Clothing Shoppers</t>
  </si>
  <si>
    <t>lensvid.com</t>
  </si>
  <si>
    <t>Online Behavior&gt;United States&gt;Validated Demographic ¬ª Gender and Age Combined&gt;Males 18-64</t>
  </si>
  <si>
    <t>livescience.com</t>
  </si>
  <si>
    <t>Online Behavior&gt;United States&gt;Food and Drink&gt;Beverages ¬ª Soft Drinks</t>
  </si>
  <si>
    <t>lotterypost.com</t>
  </si>
  <si>
    <t>Online Behavior&gt;United States&gt;Validated Demographic ¬ª Age&gt;25-34</t>
  </si>
  <si>
    <t>US ¬ª Reach ¬ª Propensity Models ¬ª Finance ¬ª Credit ¬ª Debit Card ¬ª Major Credit Card User</t>
  </si>
  <si>
    <t>m.timesofindia.com</t>
  </si>
  <si>
    <t>Lotame ¬ª Technology</t>
  </si>
  <si>
    <t>US ¬ª Reach ¬ª Propensity Models ¬ª Real Estate ¬ª Mortgage Amount ¬ª $120,000-$159,999</t>
  </si>
  <si>
    <t>Online Behavior&gt;United States&gt;Food and Drink&gt;Restaurants ¬ª Fast Food</t>
  </si>
  <si>
    <t>macrumors.com</t>
  </si>
  <si>
    <t>Online Behavior&gt;United States&gt;Validated Demographic ¬ª Age&gt;18-54</t>
  </si>
  <si>
    <t>Online Behavior&gt;United States&gt;Travel&gt;Air Travel ¬ª Airport Parking and Transportation</t>
  </si>
  <si>
    <t>mail.aol.com</t>
  </si>
  <si>
    <t>Online Behavior&gt;United States&gt;Sports&gt;Individual Sports ¬ª Track and Field</t>
  </si>
  <si>
    <t>Online Behavior&gt;United States&gt;Sports&gt;Individual Sports ¬ª Bowling</t>
  </si>
  <si>
    <t>Online Behavior&gt;United States&gt;Autos and Vehicles ¬ª Brands&gt;SEAT</t>
  </si>
  <si>
    <t>Online Behavior&gt;United States&gt;Intent ¬ª Services&gt;Photography</t>
  </si>
  <si>
    <t>Online Behavior&gt;United States&gt;Autos and Vehicles ¬ª Brands&gt;Acura</t>
  </si>
  <si>
    <t>Online Behavior&gt;United States&gt;The Changing Consumer&gt;Delivery Services and Quick Service Restaurants</t>
  </si>
  <si>
    <t>Online Behavior&gt;United States&gt;Intent ¬ª Auto Buyers ¬ª Type&gt;Sedan</t>
  </si>
  <si>
    <t>Online Behavior&gt;United States&gt;Finance ¬ª Grants, Scholarships and Financial Aid&gt;Study Grants and Scholarships</t>
  </si>
  <si>
    <t>Online Behavior&gt;United States&gt;Arts and Entertainment&gt;Events and Listings ¬ª Food and Beverage Events</t>
  </si>
  <si>
    <t>US ¬ª Reach ¬ª Propensity Models ¬ª Hobbies and Interest ¬ª Music ¬ª Streaming</t>
  </si>
  <si>
    <t>US ¬ª B2B ¬ª B2B Decision Maker Responsibilities ¬ª Computer Software</t>
  </si>
  <si>
    <t>US ¬ª Brand Propensities ¬ª Health ¬ª Beauty and Cosmetics ¬ª ULTA Buyer Propensity</t>
  </si>
  <si>
    <t>Toledo, Ohio</t>
  </si>
  <si>
    <t>US ¬ª Home and Garden Interests ¬ª House and Garden Merchandise Buyers</t>
  </si>
  <si>
    <t>Lotame ¬ª Offline CPG Purchasers ¬ª Product Segment</t>
  </si>
  <si>
    <t>US ¬ª Brand Propensities ¬ª Apparel ¬ª Bare Necessities Buyer Propensity</t>
  </si>
  <si>
    <t>Mobile - US ¬ª Travel ¬ª Destination ¬ª International Travelers ¬ª yes</t>
  </si>
  <si>
    <t>US ¬ª Brand Propensities ¬ª Media and Entertainment ¬ª Sony Network Entertainment International Buyer Propensity</t>
  </si>
  <si>
    <t>Travel and Tourism ¬ª Interest (Affinity) ¬ª Destinations ¬ª Europe</t>
  </si>
  <si>
    <t>Online Behavior&gt;United States&gt;Finance ¬ª Financial Planning and Management&gt;Financial Planning and Management</t>
  </si>
  <si>
    <t>mail.yahoo.com</t>
  </si>
  <si>
    <t>Online Behavior&gt;United States&gt;Beauty and Fitness&gt;Fitness</t>
  </si>
  <si>
    <t>Online Behavior&gt;United States&gt;The Changing Consumer&gt;Data For Good ¬ª Current Affairs - Social Justice</t>
  </si>
  <si>
    <t>Online Behavior&gt;United States&gt;Sports&gt;Team Sports ¬ª Rugby</t>
  </si>
  <si>
    <t>Online Behavior&gt;United States&gt;Beauty and Fitness&gt;Fashion and Style ¬ª Fashion Designers and Collections</t>
  </si>
  <si>
    <t>Online Behavior&gt;United States&gt;Beauty and Fitness&gt;Weight Loss</t>
  </si>
  <si>
    <t>Online Behavior&gt;United States&gt;Travel&gt;Travel Agencies and Services</t>
  </si>
  <si>
    <t>Online Behavior&gt;United States&gt;Validated Demographic ¬ª Gender and Age Combined&gt;Females 18-64</t>
  </si>
  <si>
    <t>Online Behavior&gt;United States&gt;Travel&gt;Specialty Travel ¬ª Agritourism</t>
  </si>
  <si>
    <t>Online Behavior&gt;United States&gt;Validated Demographic ¬ª Gender and Age Combined&gt;Females 25-64</t>
  </si>
  <si>
    <t>Online Behavior&gt;United States&gt;The Changing Consumer&gt;Home Entertaining</t>
  </si>
  <si>
    <t>Online Behavior&gt;United States&gt;Validated Demographic ¬ª Gender and Age Combined&gt;Females 18-44</t>
  </si>
  <si>
    <t>Online Behavior&gt;United States&gt;Food and Drink&gt;Restaurants</t>
  </si>
  <si>
    <t>Online Behavior&gt;United States&gt;Sports&gt;Winter Sports ¬ª Ice Skating</t>
  </si>
  <si>
    <t>US ¬ª Reach ¬ª Propensity Models ¬ª Hobbies and Interest ¬ª Sports ¬ª PGA Tour Enthusiast</t>
  </si>
  <si>
    <t>US ¬ª Sociodemographic ¬ª ConneXions Lifestage ¬ª M4 Elderly Traditionalists</t>
  </si>
  <si>
    <t>US ¬ª Reach ¬ª Propensity Models ¬ª Hobbies and Interest ¬ª Sports ¬ª NASCAR Enthusiast</t>
  </si>
  <si>
    <t>Mobile - US ¬ª Automotive ¬ª Vehicle Ownership ¬ª yes</t>
  </si>
  <si>
    <t>US ¬ª Brand Propensities ¬ª Media and Entertainment ¬ª Steam Community Buyer Propensity</t>
  </si>
  <si>
    <t>OnAudience ¬ª Interest ¬ª Travel</t>
  </si>
  <si>
    <t>US ¬ª Brand Propensities ¬ª Automotive ¬ª Tirerack.com Buyer Propensity</t>
  </si>
  <si>
    <t>Lotame ¬ª Style, Fashion &amp; Clothing ¬ª Clothing Shoppers</t>
  </si>
  <si>
    <t>Transactional ¬ª Q3 Home Entertainers</t>
  </si>
  <si>
    <t>Travel and Tourism ¬ª Interest (Affinity) ¬ª Products ¬ª Hotels and Lodging</t>
  </si>
  <si>
    <t>US ¬ª Demographic ¬ª Family ¬ª Households with 3 Adults</t>
  </si>
  <si>
    <t>Online Behavior&gt;United States&gt;Intent ¬ª Shopping&gt;Entertainment</t>
  </si>
  <si>
    <t>mapquest.com</t>
  </si>
  <si>
    <t>Online Behavior&gt;United States&gt;The Changing Consumer&gt;Personal Budgeting</t>
  </si>
  <si>
    <t>Mobile - US ¬ª Food ¬ª Restaurant ¬ª Brand ¬ª Moes Southwest Grill</t>
  </si>
  <si>
    <t>Online Behavior&gt;United States&gt;Validated Demographic ¬ª Gender and Age Combined&gt;Males 25-54</t>
  </si>
  <si>
    <t>marca.com</t>
  </si>
  <si>
    <t>Online Behavior&gt;United States&gt;Travel&gt;Business Travel</t>
  </si>
  <si>
    <t>US Financial ¬ª Likely In Market Timing ¬ª Not At All Likely to Purchase ¬ª Second House/Residence In The Next Year (Financial)</t>
  </si>
  <si>
    <t>maxroll.gg</t>
  </si>
  <si>
    <t>Online Behavior&gt;United States&gt;Hobbies and Leisure&gt;Special Occasions ¬ª Party Planning</t>
  </si>
  <si>
    <t>mayoclinic.org</t>
  </si>
  <si>
    <t>Online Behavior&gt;United States&gt;Sports&gt;Individual Sports ¬ª Skate Sports</t>
  </si>
  <si>
    <t>medical-news.org</t>
  </si>
  <si>
    <t>US ¬ª Reach ¬ª Propensity Models ¬ª Hobbies and Interest ¬ª Sports ¬ª NFL Enthusiast</t>
  </si>
  <si>
    <t>medicalnewstoday.com</t>
  </si>
  <si>
    <t>Mobile - US ¬ª Device Ownership ¬ª Tablets ¬ª yes</t>
  </si>
  <si>
    <t>US ¬ª Health and Wellbeing ¬ª Health and Wellbeing</t>
  </si>
  <si>
    <t>US ¬ª Brand Propensities ¬ª Telecom and Service Providers ¬ª Page Plus Cellular Buyer Propensity</t>
  </si>
  <si>
    <t>merriam-webster.com</t>
  </si>
  <si>
    <t>US ¬ª Reach ¬ª Propensity Models ¬ª Hobbies and Interest ¬ª Music ¬ª Listens to Pop Music</t>
  </si>
  <si>
    <t>merriam-webster.com/dictionary</t>
  </si>
  <si>
    <t>Media and Entertainment ¬ª Sports and Recreational Activities ¬ª Interest (Affinity) ¬ª Team Sports ¬ª Soccer (Football)</t>
  </si>
  <si>
    <t>Online Behavior&gt;United States&gt;B2B ¬ª Occupation&gt;ElectricalEngineer</t>
  </si>
  <si>
    <t>miamiherald.com</t>
  </si>
  <si>
    <t>Online Behavior&gt;United States&gt;Beauty and Fitness&gt;Fashion and Style</t>
  </si>
  <si>
    <t>Online Behavior&gt;United States&gt;Autos and Vehicles ¬ª Brands&gt;Honda</t>
  </si>
  <si>
    <t>microsoftcasualgames.com</t>
  </si>
  <si>
    <t>Online Behavior&gt;United States&gt;Validated Demographic ¬ª Age&gt;25-64</t>
  </si>
  <si>
    <t>US ¬ª Reach ¬ª Propensity Models ¬ª Household Consumer Expenditures ¬ª Furniture</t>
  </si>
  <si>
    <t>Louisville, Kentucky</t>
  </si>
  <si>
    <t>US ¬ª Reach ¬ª Propensity Models ¬ª Hobbies and Interest ¬ª Music ¬ª Listens to Country Music</t>
  </si>
  <si>
    <t>Online Behavior&gt;United States&gt;Intent ¬ª Shopping&gt;Wireless Providers</t>
  </si>
  <si>
    <t>milb.com</t>
  </si>
  <si>
    <t>Online Behavior&gt;United States&gt;Hobbies and Leisure&gt;Outdoors ¬ª Fishing</t>
  </si>
  <si>
    <t>mlb.com</t>
  </si>
  <si>
    <t>Online Behavior&gt;United States&gt;Autos and Vehicles ¬ª Brands&gt;Volkswagen</t>
  </si>
  <si>
    <t>Online Behavior&gt;United States&gt;Autos and Vehicles ¬ª Brands&gt;Jaguar</t>
  </si>
  <si>
    <t>US ¬ª Interest Propensities ¬ª Celebrities ¬ª Celebrity Fan Gossip</t>
  </si>
  <si>
    <t>US ¬ª Interest Propensities ¬ª Insurance ¬ª Humana</t>
  </si>
  <si>
    <t>Kargo</t>
  </si>
  <si>
    <t>US ¬ª Interest Propensities ¬ª Activities and Interests ¬ª B2B Job Search</t>
  </si>
  <si>
    <t>Online Behavior&gt;United States&gt;Autos and Vehicles ¬ª Brands&gt;Bugatti</t>
  </si>
  <si>
    <t>mobileposse.com</t>
  </si>
  <si>
    <t>Media and Entertainment ¬ª Gaming ¬ª In-Market</t>
  </si>
  <si>
    <t>moneyppl.com</t>
  </si>
  <si>
    <t>Media and Entertainment ¬ª Events and Attractions</t>
  </si>
  <si>
    <t>motor-junkie.com</t>
  </si>
  <si>
    <t>Online Behavior&gt;United States&gt;Finance ¬ª Banking&gt;Banking</t>
  </si>
  <si>
    <t>msn.com</t>
  </si>
  <si>
    <t>Online Behavior&gt;United States&gt;Finance ¬ª Credit and Lending&gt;Credit and Lending</t>
  </si>
  <si>
    <t>Online Behavior&gt;United States&gt;Finance ¬ª Investing&gt;Investing</t>
  </si>
  <si>
    <t>Online Behavior&gt;United States&gt;Beauty and Fitness&gt;Hair Care</t>
  </si>
  <si>
    <t>Online Behavior&gt;United States&gt;Life Event&gt;College Graduation</t>
  </si>
  <si>
    <t>Online Behavior&gt;United States&gt;The Changing Consumer&gt;Happy at Home</t>
  </si>
  <si>
    <t>Online Behavior&gt;United States&gt;Sports&gt;Team Sports ¬ª American Football</t>
  </si>
  <si>
    <t>Online Behavior&gt;United States&gt;Autos and Vehicles&gt;Electric and Plug-In Vehicles</t>
  </si>
  <si>
    <t>Online Behavior&gt;United States&gt;Intent ¬ª Shopping&gt;Home and Garden</t>
  </si>
  <si>
    <t>Online Behavior&gt;United States&gt;Intent ¬ª Auto Buyers ¬ª Type&gt;Truck</t>
  </si>
  <si>
    <t>Online Behavior&gt;United States&gt;Intent ¬ª Shopping&gt;Consumer Electronics ¬ª Televisions/TVs</t>
  </si>
  <si>
    <t>Online Behavior&gt;United States&gt;Intent ¬ª Services&gt;Arts and Entertainment</t>
  </si>
  <si>
    <t>Online Behavior&gt;United States&gt;Sports&gt;Individual Sports ¬ª Cycling</t>
  </si>
  <si>
    <t>Online Behavior&gt;United States&gt;Autos and Vehicles ¬ª Brands&gt;Porsche</t>
  </si>
  <si>
    <t>Online Behavior&gt;United States&gt;Beauty and Fitness&gt;Spas and Beauty Services ¬ª Massage Therapy</t>
  </si>
  <si>
    <t>Online Behavior&gt;United States&gt;Arts and Entertainment&gt;TV and Video</t>
  </si>
  <si>
    <t>Online Behavior&gt;United States&gt;Autos and Vehicles ¬ª Brands&gt;Mitsubishi</t>
  </si>
  <si>
    <t>Online Behavior&gt;United States&gt;Autos and Vehicles ¬ª Brands&gt;GM-Daewoo</t>
  </si>
  <si>
    <t>US ¬ª Demo ¬ª Age ¬ª 65+</t>
  </si>
  <si>
    <t>US ¬ª Sociodemographic ¬ª P$YCLE Premier Lifestage ¬ª Y3 Fiscal Fledglings</t>
  </si>
  <si>
    <t>OnAudience ¬ª Interest ¬ª News &amp; Magazines</t>
  </si>
  <si>
    <t>US ¬ª Brand Propensities ¬ª Electronics ¬ª RadioShack Buyer Propensity</t>
  </si>
  <si>
    <t>US ¬ª Interest Propensities ¬ª Activities and Interests ¬ª College Life</t>
  </si>
  <si>
    <t>Lotame ¬ª Social Media</t>
  </si>
  <si>
    <t>US ¬ª Reach ¬ª Propensity Models ¬ª Hobbies and Interest ¬ª Pets ¬ª Pet Enthusiast</t>
  </si>
  <si>
    <t>US ¬ª Financially in Charge ¬ª Performance Score: Top 25%</t>
  </si>
  <si>
    <t>OnAudience ¬ª Intent ¬ª Travel</t>
  </si>
  <si>
    <t>Media and Entertainment ¬ª Sports and Recreational Activities ¬ª Interest (Affinity) ¬ª Team Sports ¬ª Football (American)</t>
  </si>
  <si>
    <t>US Financial ¬ª Likely Bank Account and Services ¬ª Saving Account ¬ª Personal or Join (Financial)</t>
  </si>
  <si>
    <t>Shreveport, Louisiana</t>
  </si>
  <si>
    <t>Online Behavior&gt;United States&gt;B2B ¬ª Occupation&gt;SupplyChainManager</t>
  </si>
  <si>
    <t>my.earthlink.net</t>
  </si>
  <si>
    <t>Online Behavior&gt;United States&gt;People and Society&gt;Family and Relationships ¬ª Moms</t>
  </si>
  <si>
    <t>my.yahoo.com</t>
  </si>
  <si>
    <t>Online Behavior&gt;United States&gt;Arts and Entertainment&gt;Events and Listings ¬ª Live Sporting Events</t>
  </si>
  <si>
    <t>Online Behavior&gt;United States&gt;Intent ¬ª Financial Intent&gt;Banking</t>
  </si>
  <si>
    <t>mydailymagazine.com</t>
  </si>
  <si>
    <t>Online Behavior&gt;United States&gt;Finance ¬ª Insurance&gt;Health Insurance</t>
  </si>
  <si>
    <t>myfitnesspal.com</t>
  </si>
  <si>
    <t>Media and Entertainment ¬ª Sports and Recreational Activities ¬ª Interest (Affinity) ¬ª Olympics</t>
  </si>
  <si>
    <t>nba.com</t>
  </si>
  <si>
    <t>US ¬ª Brand Propensities ¬ª Kids Products ¬ª Disney Buyer Propensity</t>
  </si>
  <si>
    <t>nbcchicago.com</t>
  </si>
  <si>
    <t>Online Behavior&gt;United States&gt;Arts and Entertainment&gt;Arts and Entertainment</t>
  </si>
  <si>
    <t>Online Behavior&gt;United States&gt;Validated Demographic ¬ª Gender and Age Combined&gt;Males 18-34</t>
  </si>
  <si>
    <t>nbcdfw.com</t>
  </si>
  <si>
    <t>Online Behavior&gt;United States&gt;Finance ¬ª Investing&gt;Commodities and Futures Trading</t>
  </si>
  <si>
    <t>nbcmiami.com</t>
  </si>
  <si>
    <t>Online Behavior&gt;United States&gt;Autos and Vehicles&gt;Vehicle Shopping ¬ª Fuel Economy and Gas Prices</t>
  </si>
  <si>
    <t>nbcnews.com</t>
  </si>
  <si>
    <t>Online Behavior&gt;United States&gt;Travel&gt;Travel Agencies and Services ¬ª Tourist Boards and Visitor Centers</t>
  </si>
  <si>
    <t>Online Behavior&gt;United States&gt;Beauty and Fitness&gt;Fitness ¬ª Home Exercise</t>
  </si>
  <si>
    <t>Media and Entertainment ¬ª News and Current Events</t>
  </si>
  <si>
    <t>US ¬ª Interest Propensities ¬ª Activities and Interests ¬ª National News</t>
  </si>
  <si>
    <t>US ¬ª Interest Propensities ¬ª TV and Movies ¬ª Reality ¬ª Game Shows</t>
  </si>
  <si>
    <t>nbcsports.com</t>
  </si>
  <si>
    <t>Online Behavior&gt;United States&gt;Hobbies and Leisure&gt;Crafts</t>
  </si>
  <si>
    <t>news.yahoo.com</t>
  </si>
  <si>
    <t>Online Behavior&gt;United States&gt;Life Event&gt;Wedding Planning</t>
  </si>
  <si>
    <t>Online Behavior&gt;United States&gt;Validated Demographic ¬ª Gender and Age Combined&gt;Females 55-64</t>
  </si>
  <si>
    <t>Online Behavior&gt;United States&gt;Home and Garden&gt;Home Appliances</t>
  </si>
  <si>
    <t>OnAudience ¬ª Interest ¬ª Shopping</t>
  </si>
  <si>
    <t>Media and Entertainment ¬ª Sports and Recreational Activities ¬ª Interest (Affinity) ¬ª Team Sports ¬ª Baseball</t>
  </si>
  <si>
    <t>Media and Entertainment ¬ª News and Current Events ¬ª Online News Websites</t>
  </si>
  <si>
    <t>newsharper.com</t>
  </si>
  <si>
    <t>Online Behavior&gt;United States&gt;Finance ¬ª Investing&gt;Brokerages and Day Trading</t>
  </si>
  <si>
    <t>newsmemory.com</t>
  </si>
  <si>
    <t>US ¬ª Reach ¬ª Propensity Models ¬ª Luxury Store Shoppers</t>
  </si>
  <si>
    <t>Online Behavior&gt;United States&gt;Intent ¬ª Auto Buyers ¬ª Car Make&gt;Honda</t>
  </si>
  <si>
    <t>npr.org</t>
  </si>
  <si>
    <t>Media and Entertainment ¬ª Sports and Recreational Activities ¬ª Interest (Affinity) ¬ª Combat Sports</t>
  </si>
  <si>
    <t>US ¬ª Reach ¬ª Propensity Models ¬ª Travel ¬ª High Frequency Travel ¬ª Foreign Vacationer</t>
  </si>
  <si>
    <t>nsfas-applications.co.za</t>
  </si>
  <si>
    <t>Online Behavior&gt;United States&gt;Intent ¬ª Auto Buyers ¬ª Car Make&gt;Vauxhall</t>
  </si>
  <si>
    <t>nypost.com</t>
  </si>
  <si>
    <t>Online Behavior&gt;United States&gt;Intent ¬ª Travel&gt;Flights</t>
  </si>
  <si>
    <t>Online Behavior&gt;United States&gt;Home and Garden&gt;Home Furnishings</t>
  </si>
  <si>
    <t>Tech Enthusiasts</t>
  </si>
  <si>
    <t>US Interest ¬ª Computers</t>
  </si>
  <si>
    <t>US ¬ª Brand Propensities ¬ª Health ¬ª Beauty and Cosmetics ¬ª Beachbody Buyer Propensity</t>
  </si>
  <si>
    <t>Media and Entertainment ¬ª Audio and Video Streaming ¬ª Streaming Video ¬ª Interest (Affinity)</t>
  </si>
  <si>
    <t>nytimes.com</t>
  </si>
  <si>
    <t>US ¬ª Interest Propensities ¬ª Insurance ¬ª New York Life</t>
  </si>
  <si>
    <t>OnAudience ¬ª Interest ¬ª Science ¬ª Weather</t>
  </si>
  <si>
    <t>omnicalculator.com</t>
  </si>
  <si>
    <t>Mobile - US ¬ª Demographics ¬ª Finance ¬ª Rent Value ¬ª Highest Rent Value</t>
  </si>
  <si>
    <t>US ¬ª AUTO ¬ª Primary Vehicle ¬ª Owned or Leased ¬ª Company Car</t>
  </si>
  <si>
    <t>Hattiesburg-Laurel, Mississippi</t>
  </si>
  <si>
    <t>onechicagocenter.com</t>
  </si>
  <si>
    <t>Online Behavior&gt;United States&gt;Finance ¬ª Credit and Lending&gt;Credit Cards</t>
  </si>
  <si>
    <t>outlook.live.com</t>
  </si>
  <si>
    <t>Online Behavior&gt;United States&gt;The Changing Consumer&gt;Trending TV Shows</t>
  </si>
  <si>
    <t>Online Behavior&gt;United States&gt;Travel&gt;Hotels and Accommodations</t>
  </si>
  <si>
    <t>Online Behavior&gt;United States&gt;Intent ¬ª Shopping&gt;Fashion</t>
  </si>
  <si>
    <t>Online Behavior&gt;United States&gt;The Changing Consumer&gt;Natural Disasters</t>
  </si>
  <si>
    <t>Online Behavior&gt;United States&gt;Validated Demographic ¬ª Gender and Age Combined&gt;Females 25-44</t>
  </si>
  <si>
    <t>OnAudience ¬ª Interest ¬ª News</t>
  </si>
  <si>
    <t>US ¬ª Reach ¬ª Propensity Models ¬ª Online ¬ª Home Office</t>
  </si>
  <si>
    <t>US ¬ª Brand Propensities ¬ª Apparel ¬ª TOMS Buyer Propensity</t>
  </si>
  <si>
    <t>Mobile - US ¬ª Financial Services ¬ª Digital Payments ¬ª Chase Pay</t>
  </si>
  <si>
    <t>Transactional ¬ª Q3 Casual Dining Restaurant Goers</t>
  </si>
  <si>
    <t>Media and Entertainment ¬ª Sports and Recreational Activities ¬ª Interest (Affinity) ¬ª Olympics ¬ª Winter Olympics</t>
  </si>
  <si>
    <t>Mobile - US ¬ª Demographics ¬ª Finance ¬ª Rent Value ¬ª Lowest Rent Value</t>
  </si>
  <si>
    <t>US ¬ª Brand Propensities ¬ª Big Box Dollar Tree Buyer Propensity</t>
  </si>
  <si>
    <t>Mobile - US ¬ª Food ¬ª Restaurant ¬ª Brand ¬ª Chilis</t>
  </si>
  <si>
    <t>Online Behavior&gt;United States&gt;Finance ¬ª Accounting and Auditing&gt;Tax Preparation and Planning</t>
  </si>
  <si>
    <t>pandora.com</t>
  </si>
  <si>
    <t>Online Behavior&gt;United States&gt;Beauty and Fitness&gt;Fitness ¬ª Bodybuilding</t>
  </si>
  <si>
    <t>Online Behavior&gt;United States&gt;Autos and Vehicles&gt;Vehicle Parts and Accessories</t>
  </si>
  <si>
    <t>US ¬ª Brand Propensities ¬ª Food and Drug ¬ª Postmates Buyer Propensity</t>
  </si>
  <si>
    <t>Online Behavior&gt;United States&gt;Online Communities&gt;Online Goodies</t>
  </si>
  <si>
    <t>people.com</t>
  </si>
  <si>
    <t>Online Behavior&gt;United States&gt;Jobs and Education&gt;Jobs</t>
  </si>
  <si>
    <t>Online Behavior&gt;United States&gt;Intent ¬ª Auto Buyers ¬ª Category&gt;Sport Cars</t>
  </si>
  <si>
    <t>US ¬ª Reach ¬ª Propensity Models ¬ª Hobbies and Interest ¬ª Cultural Arts</t>
  </si>
  <si>
    <t>US ¬ª B2B ¬ª B2B Decision Maker Responsibilities ¬ª Internet Services</t>
  </si>
  <si>
    <t>Mobile - US ¬ª Device Ownership ¬ª Smartphones ¬ª iOS (Apple) ¬ª yes</t>
  </si>
  <si>
    <t>US ¬ª B2B ¬ª Purchase DM ¬ª Technology Services, Hardware and ¬ª or Software ¬ª I am the sole decision maker</t>
  </si>
  <si>
    <t>phys.org</t>
  </si>
  <si>
    <t>OnAudience ¬ª Interest ¬ª Education</t>
  </si>
  <si>
    <t>politico.com</t>
  </si>
  <si>
    <t>OnAudience ¬ª Intent ¬ª Software</t>
  </si>
  <si>
    <t>Online Behavior&gt;United States&gt;Home and Garden&gt;Kitchen and Dining</t>
  </si>
  <si>
    <t>poshland.com</t>
  </si>
  <si>
    <t>US ¬ª Reach ¬ª Propensity Models ¬ª Hobbies and Interest ¬ª Food and Drinks ¬ª Eats at Family Restaurants</t>
  </si>
  <si>
    <t>OnAudience ¬ª Intent ¬ª Baby &amp; Toddler ¬ª Baby Toys</t>
  </si>
  <si>
    <t>Media and Entertainment ¬ª Television (TV)</t>
  </si>
  <si>
    <t>Online Behavior&gt;United States&gt;Intent ¬ª Auto Buyers ¬ª Category&gt;Caravan</t>
  </si>
  <si>
    <t>ranker.com</t>
  </si>
  <si>
    <t>US ¬ª Reach ¬ª Propensity Models ¬ª Hobbies and Interest ¬ª Sports ¬ª Hunting Enthusiasts</t>
  </si>
  <si>
    <t>Online Behavior&gt;United States&gt;The Changing Consumer&gt;CPG</t>
  </si>
  <si>
    <t>realtor.com</t>
  </si>
  <si>
    <t>Online Behavior&gt;United States&gt;Internet and Telecom&gt;Web Apps and Online Tools</t>
  </si>
  <si>
    <t>Online Behavior&gt;United States&gt;News&gt;Local News</t>
  </si>
  <si>
    <t>Online Behavior&gt;United States&gt;Intent ¬ª Auto Buyers ¬ª Car Make&gt;Mercedes</t>
  </si>
  <si>
    <t>Online Behavior&gt;United States&gt;Sports&gt;Individual Sports ¬ª Golf</t>
  </si>
  <si>
    <t>Online Behavior&gt;United States&gt;Food and Drink&gt;Beverages ¬ª Juice</t>
  </si>
  <si>
    <t>Online Behavior&gt;United States&gt;Autos and Vehicles ¬ª Brands&gt;Isuzu</t>
  </si>
  <si>
    <t>Online Behavior&gt;United States&gt;Internet and Telecom&gt;Web Services</t>
  </si>
  <si>
    <t>Online Behavior&gt;United States&gt;Validated Demographic ¬ª Gender and Age Combined&gt;Males 18-44</t>
  </si>
  <si>
    <t>Online Behavior&gt;United States&gt;B2B ¬ª Occupation&gt;ComputerProgrammer</t>
  </si>
  <si>
    <t>US ¬ª Reach ¬ª Propensity Models ¬ª Lifestyle ¬ª Healthy Living</t>
  </si>
  <si>
    <t>US ¬ª Reach ¬ª Propensity Models ¬ª Hobbies and Interest ¬ª Sports ¬ª NHL Enthusiast</t>
  </si>
  <si>
    <t>US ¬ª Reach ¬ª Propensity Models ¬ª Hobbies and Interest ¬ª Sports ¬ª Fishing</t>
  </si>
  <si>
    <t>US ¬ª Interest Propensities ¬ª Food and Drink ¬ª American Cuisine</t>
  </si>
  <si>
    <t>US ¬ª Reach ¬ª Propensity Models ¬ª Finance ¬ª Credit ¬ª Debit Card ¬ª Store Credit Card User</t>
  </si>
  <si>
    <t>US ¬ª Brand Propensities ¬ª Apparel ¬ª Shoebuy.com Buyer Propensity</t>
  </si>
  <si>
    <t>Travel and Tourism ¬ª In-Market</t>
  </si>
  <si>
    <t>US ¬ª Interest Propensities ¬ª TV and Movies ¬ª Network TV</t>
  </si>
  <si>
    <t>US ¬ª Sociodemographic ¬ª P$YCLE Premier Lifestage ¬ª F4 Working-Class USA</t>
  </si>
  <si>
    <t>US ¬ª B2B ¬ª B2B Decision Maker Responsibilities ¬ª Office Services or Moving</t>
  </si>
  <si>
    <t>Telecommunications and Mobile Tech ¬ª Mobile Devices and Connected Technology</t>
  </si>
  <si>
    <t>US Home ¬ª Property Type ¬ª Single</t>
  </si>
  <si>
    <t>US Health and Fitness ¬ª Interest ¬ª Exercise ¬ª Health</t>
  </si>
  <si>
    <t>OnAudience ¬ª Interest ¬ª Arts &amp; Entertainment ¬ª Movies</t>
  </si>
  <si>
    <t>OnAudience ¬ª Interest ¬ª Arts &amp; Entertainment</t>
  </si>
  <si>
    <t>redfin.com</t>
  </si>
  <si>
    <t>Online Behavior&gt;United States&gt;Validated Demographic ¬ª Age&gt;18 or older</t>
  </si>
  <si>
    <t>reference.com</t>
  </si>
  <si>
    <t>US ¬ª Multibuyer Behaviors ¬ª Entertainment ¬ª Pastimes Multibuyer</t>
  </si>
  <si>
    <t>rent.com</t>
  </si>
  <si>
    <t>US ¬ª Sociodemographic ¬ª PRIZM Premier Social ¬ª C2 City Centers</t>
  </si>
  <si>
    <t>Lotame ¬ª Personal Finance ¬ª Stocks</t>
  </si>
  <si>
    <t>repairlinkshop.com</t>
  </si>
  <si>
    <t>Online Behavior&gt;United States&gt;Autos and Vehicles ¬ª Brands&gt;Citroen</t>
  </si>
  <si>
    <t>Little Rock-Pine Bluff, Arkansas</t>
  </si>
  <si>
    <t>reuters.com</t>
  </si>
  <si>
    <t>OnAudience ¬ª Intent ¬ª Electronics ¬ª Video Game Consoles</t>
  </si>
  <si>
    <t>Online Behavior&gt;United States&gt;Sports&gt;Team Sports ¬ª Baseball</t>
  </si>
  <si>
    <t>rollingstone.com</t>
  </si>
  <si>
    <t>Online Behavior&gt;United States&gt;Beauty and Fitness&gt;Fitness ¬ª Gyms and Health Clubs</t>
  </si>
  <si>
    <t>US ¬ª Reach ¬ª Propensity Models ¬ª Hobbies and Interest ¬ª Sports ¬ª Plays Tennis</t>
  </si>
  <si>
    <t>Lotame ¬ª Style, Fashion &amp; Clothing</t>
  </si>
  <si>
    <t>rvtrader.com</t>
  </si>
  <si>
    <t>Online Behavior&gt;United States&gt;Intent ¬ª Travel&gt;Graduation Trip</t>
  </si>
  <si>
    <t>sallysbakingaddiction.com</t>
  </si>
  <si>
    <t>Lotame ¬ª Online Shoppers ¬ª Online Shoppers</t>
  </si>
  <si>
    <t>sciencealert.com</t>
  </si>
  <si>
    <t>US ¬ª Reach ¬ª Propensity Models ¬ª Young Adult Clothing Shoppers</t>
  </si>
  <si>
    <t>sciencesensei.com</t>
  </si>
  <si>
    <t>Purchase-Based</t>
  </si>
  <si>
    <t>scitechdaily.com</t>
  </si>
  <si>
    <t>US ¬ª Reach ¬ª Propensity Models ¬ª Online ¬ª Electronics and Gadgets</t>
  </si>
  <si>
    <t>screenrant.com</t>
  </si>
  <si>
    <t>US ¬ª Interest Propensities ¬ª Music ¬ª Classic Rock</t>
  </si>
  <si>
    <t>OnAudience ¬ª Interest ¬ª Social life</t>
  </si>
  <si>
    <t>US Travel ¬ª Likely Business Travel ¬ª Number of Nights Stayed ¬ª 0 Nights</t>
  </si>
  <si>
    <t>US ¬ªPrice-Driven Traditionalist Audience</t>
  </si>
  <si>
    <t>Online Behavior&gt;United States&gt;Intent ¬ª Travel&gt;Luxury Travel</t>
  </si>
  <si>
    <t>seedsgames.com</t>
  </si>
  <si>
    <t>Media and Entertainment ¬ª Television (TV) ¬ª Viewership ¬ª TV Genres ¬ª Drama</t>
  </si>
  <si>
    <t>semana.com</t>
  </si>
  <si>
    <t>US ¬ª Sociodemographic ¬ª ConneXions Lifestage ¬ª Y2 Emerging Techies</t>
  </si>
  <si>
    <t>shareably.net</t>
  </si>
  <si>
    <t>US ¬ª Automotive ¬ª Auto Loyalists and Defectors ¬ª Auto Make Defectors</t>
  </si>
  <si>
    <t>si.com</t>
  </si>
  <si>
    <t>Online Behavior&gt;United States&gt;Online Communities&gt;Blogging Resources and Services</t>
  </si>
  <si>
    <t>signin.ebay.com</t>
  </si>
  <si>
    <t>US ¬ª Brand Propensities ¬ª Electronics ¬ª Crutchfield Buyer Propensity</t>
  </si>
  <si>
    <t>Online Behavior&gt;United States&gt;Intent ¬ª Auto Buyers ¬ª Car Make&gt;Subaru</t>
  </si>
  <si>
    <t>signupgenius.com</t>
  </si>
  <si>
    <t>Online Behavior&gt;United States&gt;Finance ¬ª Grants, Scholarships and Financial Aid&gt;Government Grants</t>
  </si>
  <si>
    <t>Online Behavior&gt;United States&gt;Autos and Vehicles ¬ª Brands&gt;Mini</t>
  </si>
  <si>
    <t>Online Behavior&gt;United States&gt;Autos and Vehicles ¬ª Brands&gt;Buick</t>
  </si>
  <si>
    <t>US Financial ¬ª Likely In Market Timing ¬ª Not At All Likely to Purchase ¬ª First Home/Residence In The Next Year (Financial)</t>
  </si>
  <si>
    <t>Transactional ¬ª Q3 Gardening Shoppers</t>
  </si>
  <si>
    <t>Online Behavior&gt;United States&gt;Travel&gt;Tourist Destinations ¬ª Historical Sites and Buildings</t>
  </si>
  <si>
    <t>slickdeals.net</t>
  </si>
  <si>
    <t>Online Behavior&gt;United States&gt;The Changing Consumer&gt;Telehealth</t>
  </si>
  <si>
    <t>Online Behavior&gt;United States&gt;Travel&gt;Carpooling and Vehicle Sharing</t>
  </si>
  <si>
    <t>Online Behavior&gt;United States&gt;Law and Government&gt;Government</t>
  </si>
  <si>
    <t>US ¬ª B2B ¬ª B2B Decision Maker Responsibilities ¬ª Security Services</t>
  </si>
  <si>
    <t>OnAudience ¬ª Intent</t>
  </si>
  <si>
    <t>US Financial ¬ª Likely Credit Card ¬ª Behavior ¬ª Used for Personal Purposes</t>
  </si>
  <si>
    <t>US ¬ª Demographic ¬ª Family ¬ª Male Head of Household</t>
  </si>
  <si>
    <t>US ¬ª Reach ¬ª Propensity Models ¬ª Lifestyle ¬ª Charities ¬ª Contributes by Volunteering</t>
  </si>
  <si>
    <t>sneakertoast.com</t>
  </si>
  <si>
    <t>OnAudience ¬ª Interest ¬ª Pets</t>
  </si>
  <si>
    <t>soaps.sheknows.com</t>
  </si>
  <si>
    <t>OnAudience ¬ª Interest ¬ª Technology &amp; Computing ¬ª Email</t>
  </si>
  <si>
    <t>sporcle.com</t>
  </si>
  <si>
    <t>Online Behavior&gt;United States&gt;Autos and Vehicles ¬ª Brands&gt;Lexus</t>
  </si>
  <si>
    <t>sportpirate.com</t>
  </si>
  <si>
    <t>Online Behavior&gt;United States&gt;The Changing Consumer&gt;Streaming Services</t>
  </si>
  <si>
    <t>sports.yahoo.com</t>
  </si>
  <si>
    <t>Online Behavior&gt;United States&gt;Autos and Vehicles ¬ª Brands&gt;Pontiac</t>
  </si>
  <si>
    <t>Online Behavior&gt;United States&gt;Home and Garden&gt;Bed and Bath</t>
  </si>
  <si>
    <t>streetinsider.com</t>
  </si>
  <si>
    <t>Media and Entertainment ¬ª Connected TV and Over-the-Top (CTV and OTT)</t>
  </si>
  <si>
    <t>US ¬ª B2B ¬ª B2B Decision Maker Responsibilities ¬ª Television providers ¬ª services</t>
  </si>
  <si>
    <t>US ¬ª B2B ¬ª Purchase DM ¬ª Technology Services, Hardware and ¬ª or Software ¬ª I make the final decision with input from staff ¬ª management</t>
  </si>
  <si>
    <t>taboolanews.com</t>
  </si>
  <si>
    <t>Online Behavior&gt;United States&gt;Intent ¬ª Auto Buyers ¬ª Category&gt;Van</t>
  </si>
  <si>
    <t>tasteofhome.com</t>
  </si>
  <si>
    <t>Online Behavior&gt;United States&gt;B2B ¬ª Occupation&gt;Broker</t>
  </si>
  <si>
    <t>tastesbetterfromscratch.com</t>
  </si>
  <si>
    <t>Online Behavior&gt;United States&gt;The Changing Consumer&gt;DIY</t>
  </si>
  <si>
    <t>techradar.com</t>
  </si>
  <si>
    <t>US ¬ª Reach ¬ª Propensity Models ¬ª Hobbies and Interest ¬ª Sports ¬ª Canoeing ¬ª Kayaking</t>
  </si>
  <si>
    <t>thebigmansworld.com</t>
  </si>
  <si>
    <t>Online Behavior&gt;United States&gt;Autos and Vehicles ¬ª Brands&gt;Nissan</t>
  </si>
  <si>
    <t>thefinancechatter.com</t>
  </si>
  <si>
    <t>Online Behavior&gt;United States&gt;Finance ¬ª Banking&gt;Debit and Checking Services</t>
  </si>
  <si>
    <t>thegamer.com</t>
  </si>
  <si>
    <t>OnAudience ¬ª Interest ¬ª Society</t>
  </si>
  <si>
    <t>thehulltruth.com</t>
  </si>
  <si>
    <t>Online Behavior&gt;United States&gt;Autos and Vehicles ¬ª Brands&gt;Fiat</t>
  </si>
  <si>
    <t>thekrazycouponlady.com</t>
  </si>
  <si>
    <t>Mobile - US ¬ª Automotive ¬ª Repair &amp; Oil Change ¬ª Intend</t>
  </si>
  <si>
    <t>therighthairstyles.com</t>
  </si>
  <si>
    <t>US ¬ª Home Renovation ¬ª Home Renovators</t>
  </si>
  <si>
    <t>thesaltymarshmallow.com</t>
  </si>
  <si>
    <t>Online Behavior&gt;United States&gt;News&gt;Politics</t>
  </si>
  <si>
    <t>thesaurus.com</t>
  </si>
  <si>
    <t>Online Behavior&gt;United States&gt;Life Event&gt;Job Search</t>
  </si>
  <si>
    <t>Online Behavior&gt;United States&gt;Food and Drink&gt;Restaurants ¬ª Fine Dining</t>
  </si>
  <si>
    <t>US ¬ª Brand Propensities ¬ª Apparel ¬ª Lady Foot Locker Buyer Propensity</t>
  </si>
  <si>
    <t>US ¬ª Demographic ¬ª Household Income $50k+</t>
  </si>
  <si>
    <t>Mobile - US ¬ª Food ¬ª Restaurant ¬ª Brand ¬ª Red Lobster</t>
  </si>
  <si>
    <t>US ¬ª B2B ¬ª B2B Decision Maker Responsibilities ¬ª Print, Copy or Photo Services</t>
  </si>
  <si>
    <t>Online Behavior&gt;United States&gt;Beauty and Fitness&gt;Face and Body Care ¬ª Hygiene and Toiletries</t>
  </si>
  <si>
    <t>the-sun.com</t>
  </si>
  <si>
    <t>Online Behavior&gt;United States&gt;Finance ¬ª Banking&gt;Savings Accounts</t>
  </si>
  <si>
    <t>Online Behavior&gt;United States&gt;Validated Demographic ¬ª Gender and Age Combined&gt;Males 25-64</t>
  </si>
  <si>
    <t>Mobile - US ¬ª Gamers ¬ª Online ¬ª Users</t>
  </si>
  <si>
    <t>US ¬ª Interest Propensities ¬ª Activities and Interests ¬ª Buying and Selling Homes ¬ª Real Estate</t>
  </si>
  <si>
    <t>OnAudience ¬ª Interest ¬ª Shopping ¬ª Luxurious Brands</t>
  </si>
  <si>
    <t>Online Behavior&gt;United States&gt;Validated Demographic ¬ª Gender and Age Combined&gt;Males 55-64</t>
  </si>
  <si>
    <t>timeanddate.com</t>
  </si>
  <si>
    <t>Restaurants</t>
  </si>
  <si>
    <t>OnAudience ¬ª Interest ¬ª Hobbies &amp; Interests ¬ª Art</t>
  </si>
  <si>
    <t>Online Behavior&gt;United States&gt;Autos and Vehicles ¬ª Brands&gt;Peugeot</t>
  </si>
  <si>
    <t>todaysnyc.com</t>
  </si>
  <si>
    <t>OnAudience ¬ª Interest</t>
  </si>
  <si>
    <t>tomsguide.com</t>
  </si>
  <si>
    <t>Real Estate ¬ª Property Type&gt; Residential</t>
  </si>
  <si>
    <t>Media Source ¬ª LBDigital ¬ª Open For Business B2B</t>
  </si>
  <si>
    <t>Online Behavior&gt;United States&gt;Life Event&gt;Home Buying</t>
  </si>
  <si>
    <t>topclassactions.com</t>
  </si>
  <si>
    <t>OnAudience ¬ª Intent ¬ª Baby &amp; Toddler</t>
  </si>
  <si>
    <t>Online Behavior&gt;United States&gt;Beauty and Fitness&gt;Fitness ¬ª Fitness Equipment and Accessories</t>
  </si>
  <si>
    <t>travelerdreams.com</t>
  </si>
  <si>
    <t>US Buying Channel Preference ¬ª Online</t>
  </si>
  <si>
    <t>Online Behavior&gt;United States&gt;Validated Demographic ¬ª Age&gt;65 or older</t>
  </si>
  <si>
    <t>tripadvisor.com</t>
  </si>
  <si>
    <t>US ¬ªMade In America Audience</t>
  </si>
  <si>
    <t>upworthy.com</t>
  </si>
  <si>
    <t>Online Behavior&gt;United States&gt;Intent ¬ª Shopping&gt;Drug Stores ¬ª Walgreens</t>
  </si>
  <si>
    <t>usatoday.com</t>
  </si>
  <si>
    <t>Online Behavior&gt;United States&gt;Validated Demographic ¬ª Gender and Age Combined&gt;Males 25 or older</t>
  </si>
  <si>
    <t>Online Behavior&gt;United States&gt;Intent ¬ª Auto Buyers ¬ª Type&gt;Crossover</t>
  </si>
  <si>
    <t>Online Behavior&gt;United States&gt;Intent ¬ª Auto Buyers ¬ª Car Make&gt;Peugeot</t>
  </si>
  <si>
    <t>Purchase Behaviors ¬ª Q2 Spring Cleaners</t>
  </si>
  <si>
    <t>Mobile - US ¬ª Automotive ¬ª Vehicle Ownership ¬ª Brand ¬ª BMW</t>
  </si>
  <si>
    <t>uscellular.com</t>
  </si>
  <si>
    <t>Mobile - US ¬ª Food ¬ª Restaurant ¬ª Brand ¬ª Krispy Kreme</t>
  </si>
  <si>
    <t>usnews.com</t>
  </si>
  <si>
    <t>Online Behavior&gt;United States&gt;Arts and Entertainment&gt;Events and Listings ¬ª Concerts and Music Festivals</t>
  </si>
  <si>
    <t>usssa.com</t>
  </si>
  <si>
    <t>Online Behavior&gt;United States&gt;Home and Garden&gt;Yard and Patio</t>
  </si>
  <si>
    <t>w3schools.com</t>
  </si>
  <si>
    <t>US ¬ª Sociodemographic ¬ª PRIZM Premier Lifestage ¬ª F2 Young Accumulators</t>
  </si>
  <si>
    <t>OnAudience ¬ª Interest ¬ª Food &amp; Drink</t>
  </si>
  <si>
    <t>US ¬ª Brand Propensities ¬ª Travel ¬ª MGM Resorts International Buyer Propensity</t>
  </si>
  <si>
    <t>Online Behavior&gt;United States&gt;Law and Government&gt;Legal</t>
  </si>
  <si>
    <t>washingtonpost.com</t>
  </si>
  <si>
    <t>Online Behavior&gt;United States&gt;Sports&gt;College Sports</t>
  </si>
  <si>
    <t>weather.com</t>
  </si>
  <si>
    <t>Online Behavior&gt;United States&gt;B2B ¬ª Occupation&gt;Entrepreneur</t>
  </si>
  <si>
    <t>Online Behavior&gt;United States&gt;Food and Drink&gt;Cooking and Recipes</t>
  </si>
  <si>
    <t>Online Behavior&gt;United States&gt;Online Communities&gt;Dating and Personals</t>
  </si>
  <si>
    <t>Online Behavior&gt;United States&gt;Intent ¬ª Shopping&gt;CPGª Home Care</t>
  </si>
  <si>
    <t>Online Behavior&gt;United States&gt;Intent ¬ª Financial Intent&gt;Insurance ¬ª Auto</t>
  </si>
  <si>
    <t>Online Behavior&gt;United States&gt;Intent ¬ª Auto Buyers ¬ª Car Make&gt;Jeep</t>
  </si>
  <si>
    <t>Online Behavior&gt;United States&gt;Travel&gt;Specialty Travel</t>
  </si>
  <si>
    <t>Online Behavior&gt;United States&gt;Hobbies and Leisure&gt;Clubs and Organizations</t>
  </si>
  <si>
    <t>Online Behavior&gt;United States&gt;Autos and Vehicles ¬ª Brands&gt;Kia</t>
  </si>
  <si>
    <t>Online Behavior&gt;United States&gt;Internet and Telecom&gt;Search Engines</t>
  </si>
  <si>
    <t>Online Behavior&gt;United States&gt;Internet and Telecom&gt;Web Portals</t>
  </si>
  <si>
    <t>Online Behavior&gt;United States&gt;Validated Demographic ¬ª Age&gt;25-54</t>
  </si>
  <si>
    <t>Online Behavior&gt;United States&gt;Hobbies and Leisure&gt;Water Activities</t>
  </si>
  <si>
    <t>Online Behavior&gt;United States&gt;Finance ¬ª Insurance&gt;Travel Insurance</t>
  </si>
  <si>
    <t>Online Behavior&gt;United States&gt;Intent ¬ª Services&gt;Restaurants</t>
  </si>
  <si>
    <t>Online Behavior&gt;United States&gt;Intent ¬ª Travel&gt;Future Travel</t>
  </si>
  <si>
    <t>Online Behavior&gt;United States&gt;Intent ¬ª Shopping&gt;CPGª Cosmetics</t>
  </si>
  <si>
    <t>Online Behavior&gt;United States&gt;Travel&gt;Travel Guides and Travelogues</t>
  </si>
  <si>
    <t>Online Behavior&gt;United States&gt;The Changing Consumer&gt;Pet Adoption</t>
  </si>
  <si>
    <t>Media and Entertainment</t>
  </si>
  <si>
    <t>Retail</t>
  </si>
  <si>
    <t>US ¬ª Reach ¬ª Propensity Models ¬ª Hobbies and Interest ¬ª Sports ¬ª Boating</t>
  </si>
  <si>
    <t>US ¬ª Financially in Charge ¬ª Performance Score: Top 50%</t>
  </si>
  <si>
    <t>US ¬ª Reach ¬ª Propensity Models ¬ª Online ¬ª Pets</t>
  </si>
  <si>
    <t>US ¬ª Interest Propensities ¬ª Insurance ¬ª Lincoln Heritage</t>
  </si>
  <si>
    <t>Real Estate ¬ª Lot Size ¬ª Cozy Outdoor Living Space (Less than  an Acre)</t>
  </si>
  <si>
    <t>US Demographic ¬ª Age ¬ª Specialty Age Range ¬ª 21+</t>
  </si>
  <si>
    <t>US Mail Order Buyer</t>
  </si>
  <si>
    <t>US ¬ª Brand Propensities ¬ª Big Box Dollar General Buyer Propensity</t>
  </si>
  <si>
    <t>OnAudience ¬ª Interest ¬ª News ¬ª International News</t>
  </si>
  <si>
    <t>Mobile Audience ¬ª Lifestyle ¬ª Arts Enthusiasts</t>
  </si>
  <si>
    <t>US ¬ª Interest Propensities ¬ª Music ¬ª Hip Hop and Rap</t>
  </si>
  <si>
    <t>Lotame ¬ª Travel ¬ª Thanksgiving Travel</t>
  </si>
  <si>
    <t>Cincinnati, Ohio</t>
  </si>
  <si>
    <t>US ¬ª Sociodemographic ¬ª ConneXions Lifestage ¬ª F2 Suburban Spenders</t>
  </si>
  <si>
    <t>Travel and Tourism ¬ª Interest (Affinity) ¬ª Destinations ¬ª Africa</t>
  </si>
  <si>
    <t>Purchase-Based ¬ª Categories ¬ª Office Supplies Buyers</t>
  </si>
  <si>
    <t>Online Behavior&gt;United States&gt;Sports&gt;Extreme Sports</t>
  </si>
  <si>
    <t>webmd.com</t>
  </si>
  <si>
    <t>US Financial ¬ª Likely Attitude and Behavior ¬ª Completely Disagree ¬ª When I Find A Financial Product/Service I Like I Typically Recommend It To People I Know (Financial)</t>
  </si>
  <si>
    <t>Online Behavior&gt;United States&gt;Intent ¬ª Auto Buyers&gt;New</t>
  </si>
  <si>
    <t>whatismyipaddress.com</t>
  </si>
  <si>
    <t>Online Behavior&gt;United States&gt;The Changing Consumer&gt;Home Learning</t>
  </si>
  <si>
    <t>Online Behavior&gt;United States&gt;B2B ¬ª Occupation&gt;PropertyManager</t>
  </si>
  <si>
    <t>US ¬ª Entertainment and Pastimes ¬ª Entertainment and Pastimes</t>
  </si>
  <si>
    <t>Travel</t>
  </si>
  <si>
    <t>US ¬ª AUTO ¬ª Auto Car Purchase Next Year ¬ª Yes</t>
  </si>
  <si>
    <t>US Financial ¬ª Method of Payment ¬ª Other</t>
  </si>
  <si>
    <t>Online Behavior&gt;United States&gt;Arts and Entertainment&gt;Events and Listings ¬ª Event Ticket Sales</t>
  </si>
  <si>
    <t>wikihow.com</t>
  </si>
  <si>
    <t>Online Behavior&gt;United States&gt;Intent ¬ª Travel&gt;Travel</t>
  </si>
  <si>
    <t>US ¬ªQuality-First Shopper Audience</t>
  </si>
  <si>
    <t>US Demographic ¬ª Preferred Language ¬ª Non-Hispanic</t>
  </si>
  <si>
    <t>Online Behavior&gt;United States&gt;News&gt;Weather</t>
  </si>
  <si>
    <t>Mobile - US ¬ª Sports ¬ª Basketball ¬ª NCAA College Basketball</t>
  </si>
  <si>
    <t>wizofawes.com</t>
  </si>
  <si>
    <t>Media and Entertainment ¬ª Television (TV) ¬ª Viewership</t>
  </si>
  <si>
    <t>womenshealthmag.com</t>
  </si>
  <si>
    <t>Online Behavior&gt;United States&gt;Intent ¬ª Shopping&gt;Home Improvement</t>
  </si>
  <si>
    <t>wordunscrambler.me</t>
  </si>
  <si>
    <t>US ¬ª Interest Propensities ¬ª Activities and Interests ¬ª Ecommerce</t>
  </si>
  <si>
    <t>wsj.com</t>
  </si>
  <si>
    <t>Online Behavior&gt;United States&gt;Autos and Vehicles ¬ª Brands&gt;Vauxhall-Opel</t>
  </si>
  <si>
    <t>wsmv.com</t>
  </si>
  <si>
    <t>Media and Entertainment ¬ª Movies ¬ª Enthusiasts</t>
  </si>
  <si>
    <t>wsvn.com</t>
  </si>
  <si>
    <t>OnAudience ¬ª Interest ¬ª Technology &amp; Computing</t>
  </si>
  <si>
    <t>wunderground.com</t>
  </si>
  <si>
    <t>Media and Entertainment ¬ª Audio and Video Streaming ¬ª Streaming Video</t>
  </si>
  <si>
    <t>Online Behavior&gt;United States&gt;Intent ¬ª Travel&gt;Budget Travel</t>
  </si>
  <si>
    <t>yachtworld.com</t>
  </si>
  <si>
    <t>Online Behavior&gt;United States&gt;Beauty and Fitness&gt;Spas and Beauty Services</t>
  </si>
  <si>
    <t>yahoo.com</t>
  </si>
  <si>
    <t>Online Behavior&gt;United States&gt;Finance ¬ª Accounting and Auditing&gt;Accounting and Auditing</t>
  </si>
  <si>
    <t>Online Behavior&gt;United States&gt;Life Event&gt;University Graduation</t>
  </si>
  <si>
    <t>Online Behavior&gt;United States&gt;Life Event&gt;College Applications</t>
  </si>
  <si>
    <t>Online Behavior&gt;United States&gt;Games&gt;Arcade and Coin-Op Games</t>
  </si>
  <si>
    <t>Online Behavior&gt;United States&gt;Life Event&gt;Movers</t>
  </si>
  <si>
    <t>Online Behavior&gt;United States&gt;Intent ¬ª Services&gt;Pets</t>
  </si>
  <si>
    <t>Online Behavior&gt;United States&gt;Hobbies and Leisure&gt;Special Occasions ¬ª Holidays and Seasonal Events</t>
  </si>
  <si>
    <t>Online Behavior&gt;United States&gt;The Changing Consumer&gt;Virtual Events</t>
  </si>
  <si>
    <t>Online Behavior&gt;United States&gt;Beauty and Fitness&gt;Beauty Pageants</t>
  </si>
  <si>
    <t>Online Behavior&gt;United States&gt;Autos and Vehicles ¬ª Brands&gt;Aston Martin</t>
  </si>
  <si>
    <t>US ¬ª Reach ¬ª Propensity Models ¬ª Hobbies and Interest ¬ª Books ¬ª E-Book Reader</t>
  </si>
  <si>
    <t>US ¬ª AUTO ¬ª Decision Maker for Auto Purchase ¬ª I was the sole decision-maker</t>
  </si>
  <si>
    <t>US ¬ª B2B ¬ª B2B Decision Maker Responsibilities ¬ª Purchasing Vehicles or Automobile Services</t>
  </si>
  <si>
    <t>Media and Entertainment ¬ª Audio and Video Streaming ¬ª Streaming Video ¬ª Interest (Affinity) ¬ª Streaming Services</t>
  </si>
  <si>
    <t>Mobile - US ¬ª Demographics ¬ª Education ¬ª High Education Achievement</t>
  </si>
  <si>
    <t>Media and Entertainment ¬ª Sports and Recreational Activities ¬ª Interest (Affinity) ¬ª Individual Sports</t>
  </si>
  <si>
    <t>US ¬ª Interest Propensities ¬ª TV and Movies ¬ª Drama</t>
  </si>
  <si>
    <t>US ¬ª Interest Propensities ¬ª Insurance ¬ª Transamerica</t>
  </si>
  <si>
    <t>Media &amp; Entertainment</t>
  </si>
  <si>
    <t>US ¬ª Brand Propensities ¬ª Apparel ¬ª The Men's Wearhouse Buyer Propensity</t>
  </si>
  <si>
    <t>Travel and Tourism ¬ª Interest (Affinity) ¬ª Products ¬ª Air Travel</t>
  </si>
  <si>
    <t>OnAudience ¬ª Interest ¬ª Technology &amp; Computing ¬ª Entertainment</t>
  </si>
  <si>
    <t>US ¬ª Brand Propensities ¬ª Restaurants and Dining ¬ª Seamless Buyer Propensity</t>
  </si>
  <si>
    <t>Mobile - US ¬ª Sports ¬ª Motor Sports ¬ª NASCAR</t>
  </si>
  <si>
    <t>US ¬ª Reach ¬ª Propensity Models ¬ª Hobbies and Interest ¬ª Food and Drinks ¬ª Coffee Connoisseurs</t>
  </si>
  <si>
    <t>US ¬ª Demographic ¬ª Family ¬ª Households with 2 Adults</t>
  </si>
  <si>
    <t>US ¬ª Interest Propensities ¬ª Brands ¬ª Big Box Retail</t>
  </si>
  <si>
    <t>yellowpages.com</t>
  </si>
  <si>
    <t>Travel and Tourism ¬ª Interest (Affinity)</t>
  </si>
  <si>
    <t>US ¬ª Brand Propensities ¬ª Media and Entertainment ¬ª pokerstars.net Buyer Propensity</t>
  </si>
  <si>
    <t>Online Behavior&gt;United States&gt;Intent ¬ª Shopping&gt;Pet Food ¬ª Dog</t>
  </si>
  <si>
    <t>yourdailysportfix.com</t>
  </si>
  <si>
    <t>Online Behavior&gt;United States&gt;B2B ¬ª Occupation&gt;Architect</t>
  </si>
  <si>
    <t>Online Behavior&gt;United States&gt;Validated Demographic ¬ª Gender&gt;Female</t>
  </si>
  <si>
    <t>yourroyals.com</t>
  </si>
  <si>
    <t>Online Behavior&gt;United States&gt;Beauty and Fitness&gt;Face and Body Care ¬ª Make-Up and Cosmetics</t>
  </si>
  <si>
    <t>zdnet.com</t>
  </si>
  <si>
    <t>US ¬ª Multibuyer Behaviors ¬ª Club ¬ª Continuity Buyers</t>
  </si>
  <si>
    <t>Online Behavior&gt;United States&gt;Travel&gt;Tourist Destinations ¬ª Theme Parks</t>
  </si>
  <si>
    <t>zillow.com</t>
  </si>
  <si>
    <t>Online Behavior&gt;United States&gt;Food and Drink&gt;Beverages ¬ª Beer</t>
  </si>
  <si>
    <t>Online Behavior&gt;United States&gt;Arts and Entertainment&gt;Events and Listings ¬ª Expos and Conventions</t>
  </si>
  <si>
    <t>US ¬ª Reach ¬ª Sociodemographic ¬ª Household Income ¬ª $50,000-$74,999</t>
  </si>
  <si>
    <t>US ¬ª Brand Propensities ¬ª Automotive ¬ª Ford Credit Buyer Propensity</t>
  </si>
  <si>
    <t>US Technology ¬ª Social Media ¬ª Likely Behavior ¬ª Heavy Facebook User</t>
  </si>
  <si>
    <t>US ¬ª B2B ¬ª B2B Decision Maker Responsibilities ¬ª Real Estate Services</t>
  </si>
  <si>
    <t>Transactional ¬ª Q3 Fashion Shoppers</t>
  </si>
  <si>
    <t>Lotame ¬ª Style, Fashion &amp; Clothing ¬ª Men's Clothing Shoppers</t>
  </si>
  <si>
    <t>zone.msn.com</t>
  </si>
  <si>
    <t>State</t>
  </si>
  <si>
    <t>CPA ($ per conversion)</t>
  </si>
  <si>
    <t>CTR (%)</t>
  </si>
  <si>
    <t>CVR (%; post-click)</t>
  </si>
  <si>
    <t>CPM ($ per 1000 impressions)</t>
  </si>
  <si>
    <t>Viewability Rate (%)</t>
  </si>
  <si>
    <t>vCPM ($ per 1000 viewable impressions)</t>
  </si>
  <si>
    <t>Row Labels</t>
  </si>
  <si>
    <t>(blank)</t>
  </si>
  <si>
    <t>Grand Total</t>
  </si>
  <si>
    <t>Sum of Impressions</t>
  </si>
  <si>
    <t>Sum of Clicks</t>
  </si>
  <si>
    <t>Sum of Total Conversions</t>
  </si>
  <si>
    <t>Sum of Gross Cost</t>
  </si>
  <si>
    <t>Sum of Viewable Impressions</t>
  </si>
  <si>
    <t>Sum of Measurable Impressions</t>
  </si>
  <si>
    <t>Column1</t>
  </si>
  <si>
    <t>CPA</t>
  </si>
  <si>
    <t>CTR</t>
  </si>
  <si>
    <t>CVR</t>
  </si>
  <si>
    <t>CPM</t>
  </si>
  <si>
    <t>vCPM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</si>
</sst>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%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3" fontId="0" fillId="0" borderId="0" xfId="0" applyNumberFormat="1"/>
    <xf numFmtId="0" fontId="18" fillId="33" borderId="0" xfId="0" applyFont="1" applyFill="1"/>
    <xf numFmtId="0" fontId="16" fillId="33" borderId="0" xfId="0" applyFont="1" applyFill="1"/>
    <xf numFmtId="164" fontId="16" fillId="33" borderId="0" xfId="43" applyNumberFormat="1" applyFont="1" applyFill="1"/>
    <xf numFmtId="164" fontId="0" fillId="0" borderId="0" xfId="43" applyNumberFormat="1" applyFont="1"/>
    <xf numFmtId="10" fontId="16" fillId="33" borderId="0" xfId="43" applyNumberFormat="1" applyFont="1" applyFill="1"/>
    <xf numFmtId="10" fontId="0" fillId="0" borderId="0" xfId="43" applyNumberFormat="1" applyFont="1"/>
    <xf numFmtId="164" fontId="0" fillId="0" borderId="0" xfId="0" applyNumberFormat="1"/>
    <xf numFmtId="44" fontId="16" fillId="33" borderId="0" xfId="42" applyFont="1" applyFill="1"/>
    <xf numFmtId="44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0" fontId="0" fillId="0" borderId="0" xfId="0" applyNumberForma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34" formatCode="_(&quot;$&quot;* #,##0.00_);_(&quot;$&quot;* \(#,##0.00\);_(&quot;$&quot;* &quot;-&quot;??_);_(@_)"/>
    </dxf>
    <dxf>
      <numFmt numFmtId="164" formatCode="0.0%"/>
    </dxf>
    <dxf>
      <numFmt numFmtId="164" formatCode="0.0%"/>
    </dxf>
    <dxf>
      <numFmt numFmtId="14" formatCode="0.00%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indexed="64"/>
          <bgColor theme="3" tint="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mee Moein M" refreshedDate="45964.892097685188" createdVersion="8" refreshedVersion="8" minRefreshableVersion="3" recordCount="729" xr:uid="{303FE10D-DD5D-0844-B460-498951B37731}">
  <cacheSource type="worksheet">
    <worksheetSource ref="A1:T1048576" sheet="Raw Data"/>
  </cacheSource>
  <cacheFields count="20">
    <cacheField name="Audience Segment" numFmtId="0">
      <sharedItems containsBlank="1"/>
    </cacheField>
    <cacheField name="Creative Size" numFmtId="0">
      <sharedItems containsBlank="1" count="4">
        <s v="300x250"/>
        <s v="320x50"/>
        <s v="300x50"/>
        <m/>
      </sharedItems>
    </cacheField>
    <cacheField name="Creative Messaging" numFmtId="0">
      <sharedItems containsBlank="1" count="5">
        <s v="Subscribe Today - 10% Discount"/>
        <s v="Sign up Today - 10% Off"/>
        <s v="Sign up Now - 10% Off"/>
        <s v="10% Discount - Ends 6/1"/>
        <m/>
      </sharedItems>
    </cacheField>
    <cacheField name="Location" numFmtId="0">
      <sharedItems containsBlank="1"/>
    </cacheField>
    <cacheField name="State" numFmtId="0">
      <sharedItems containsBlank="1"/>
    </cacheField>
    <cacheField name="App/URL" numFmtId="0">
      <sharedItems containsBlank="1"/>
    </cacheField>
    <cacheField name="Exchange" numFmtId="0">
      <sharedItems containsBlank="1"/>
    </cacheField>
    <cacheField name="Device Make" numFmtId="0">
      <sharedItems containsBlank="1" count="4">
        <s v="Windows PC"/>
        <s v="Smartphone"/>
        <s v="Apple PC"/>
        <m/>
      </sharedItems>
    </cacheField>
    <cacheField name="Impressions" numFmtId="0">
      <sharedItems containsString="0" containsBlank="1" containsNumber="1" containsInteger="1" minValue="7229" maxValue="4154911"/>
    </cacheField>
    <cacheField name="Clicks" numFmtId="0">
      <sharedItems containsString="0" containsBlank="1" containsNumber="1" containsInteger="1" minValue="0" maxValue="8745"/>
    </cacheField>
    <cacheField name="Viewable Impressions" numFmtId="0">
      <sharedItems containsString="0" containsBlank="1" containsNumber="1" containsInteger="1" minValue="191" maxValue="2338732"/>
    </cacheField>
    <cacheField name="Measurable Impressions" numFmtId="0">
      <sharedItems containsString="0" containsBlank="1" containsNumber="1" containsInteger="1" minValue="2054" maxValue="3445626"/>
    </cacheField>
    <cacheField name="Total Conversions" numFmtId="0">
      <sharedItems containsString="0" containsBlank="1" containsNumber="1" containsInteger="1" minValue="1" maxValue="154"/>
    </cacheField>
    <cacheField name="Gross Cost" numFmtId="0">
      <sharedItems containsString="0" containsBlank="1" containsNumber="1" minValue="1247" maxValue="8187.1145409999999"/>
    </cacheField>
    <cacheField name="CTR (%)" numFmtId="10">
      <sharedItems containsString="0" containsBlank="1" containsNumber="1" minValue="0" maxValue="1.5852502800034463E-2"/>
    </cacheField>
    <cacheField name="CVR (%; post-click)" numFmtId="164">
      <sharedItems containsString="0" containsBlank="1" containsNumber="1" minValue="0" maxValue="1.9795918367346939"/>
    </cacheField>
    <cacheField name="CPA ($ per conversion)" numFmtId="44">
      <sharedItems containsString="0" containsBlank="1" containsNumber="1" minValue="18.471094384615387" maxValue="6407.5818280000003"/>
    </cacheField>
    <cacheField name="CPM ($ per 1000 impressions)" numFmtId="44">
      <sharedItems containsString="0" containsBlank="1" containsNumber="1" minValue="1.8009559296558977" maxValue="942.39710914372665"/>
    </cacheField>
    <cacheField name="Viewability Rate (%)" numFmtId="164">
      <sharedItems containsString="0" containsBlank="1" containsNumber="1" minValue="1.2271909534823953E-2" maxValue="0.93415410153548206"/>
    </cacheField>
    <cacheField name="vCPM ($ per 1000 viewable impressions)" numFmtId="44">
      <sharedItems containsString="0" containsBlank="1" containsNumber="1" minValue="2.8590883394823683" maxValue="11227.6941727748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9">
  <r>
    <s v="Online Behavior&gt;United States&gt;B2B ¬ª Occupation&gt;OfficeManager"/>
    <x v="0"/>
    <x v="0"/>
    <s v="Miami-Ft. Lauderdale, Florida"/>
    <s v="Florida"/>
    <s v="dafont.com"/>
    <s v="BidSwitch"/>
    <x v="0"/>
    <n v="24464"/>
    <n v="0"/>
    <n v="3275"/>
    <n v="21993"/>
    <n v="6"/>
    <n v="2959.1149730000002"/>
    <n v="0"/>
    <n v="0"/>
    <n v="493.18582883333335"/>
    <n v="120.95793709123612"/>
    <n v="0.14891101714181784"/>
    <n v="903.5465566412214"/>
  </r>
  <r>
    <s v="Online Behavior&gt;United States&gt;Sports&gt;Water Sports ¬ª Surfing"/>
    <x v="0"/>
    <x v="1"/>
    <s v="Nashville, Tennessee"/>
    <s v="Tennessee"/>
    <s v="ebay.com"/>
    <s v="Google Ad Manager"/>
    <x v="1"/>
    <n v="23983"/>
    <n v="0"/>
    <n v="464"/>
    <n v="19802"/>
    <n v="9"/>
    <n v="4574.3482700000004"/>
    <n v="0"/>
    <n v="0"/>
    <n v="508.26091888888891"/>
    <n v="190.73294708752033"/>
    <n v="2.3431976568023431E-2"/>
    <n v="9858.5092025862086"/>
  </r>
  <r>
    <s v="Mobile - US ¬ª Device Ownership ¬ª Smartphones ¬ª Huawei"/>
    <x v="0"/>
    <x v="2"/>
    <s v="Tampa-St Petersburg (Sarasota), Florida"/>
    <s v="Florida"/>
    <s v="dailymail.co.uk/tvshowbiz"/>
    <s v="Google Ad Manager"/>
    <x v="1"/>
    <n v="7427"/>
    <n v="0"/>
    <n v="4752"/>
    <n v="6566"/>
    <n v="1"/>
    <n v="1504.784161"/>
    <n v="0"/>
    <n v="0"/>
    <n v="1504.784161"/>
    <n v="202.60995839504511"/>
    <n v="0.72372829728906485"/>
    <n v="316.66333354377105"/>
  </r>
  <r>
    <s v="Online Behavior&gt;United States&gt;B2B ¬ª Occupation&gt;SupplyChainManager"/>
    <x v="0"/>
    <x v="2"/>
    <s v="Jacksonville, Florida"/>
    <s v="Florida"/>
    <s v="my.earthlink.net"/>
    <s v="Google Ad Manager"/>
    <x v="2"/>
    <n v="7470"/>
    <n v="0"/>
    <n v="6753"/>
    <n v="7229"/>
    <n v="1"/>
    <n v="1738.9952820000001"/>
    <n v="0"/>
    <n v="0"/>
    <n v="1738.9952820000001"/>
    <n v="232.79722650602412"/>
    <n v="0.93415410153548206"/>
    <n v="257.51447978676146"/>
  </r>
  <r>
    <s v="Online Behavior&gt;United States&gt;Intent ¬ª Shopping&gt;CPGª Grocery"/>
    <x v="0"/>
    <x v="0"/>
    <s v="New York City, New York"/>
    <s v="New York"/>
    <s v="dailybee.com"/>
    <s v="Google Ad Manager"/>
    <x v="1"/>
    <n v="8111"/>
    <n v="0"/>
    <n v="4346"/>
    <n v="6163"/>
    <n v="1"/>
    <n v="5000.7612060000001"/>
    <n v="0"/>
    <n v="0"/>
    <n v="5000.7612060000001"/>
    <n v="616.54064924177044"/>
    <n v="0.70517605062469579"/>
    <n v="1150.6583538886332"/>
  </r>
  <r>
    <s v="Online Behavior&gt;United States&gt;Autos and Vehicles ¬ª Brands&gt;Nissan"/>
    <x v="0"/>
    <x v="1"/>
    <s v="Chicago, Illinois"/>
    <s v="Illinois"/>
    <s v="thefinancechatter.com"/>
    <s v="BidSwitch"/>
    <x v="1"/>
    <n v="7691"/>
    <n v="0"/>
    <n v="3890"/>
    <n v="5905"/>
    <n v="1"/>
    <n v="5927.8067879999999"/>
    <n v="0"/>
    <n v="0"/>
    <n v="5927.8067879999999"/>
    <n v="770.74590924457152"/>
    <n v="0.65876375952582555"/>
    <n v="1523.8577861182519"/>
  </r>
  <r>
    <s v="Online Behavior&gt;United States&gt;Validated Demographic ¬ª Age&gt;25-64"/>
    <x v="1"/>
    <x v="2"/>
    <s v="Savannah, Georgia"/>
    <s v="Georgia"/>
    <s v="microsoftcasualgames.com"/>
    <s v="Magnite DV+"/>
    <x v="1"/>
    <n v="252170"/>
    <n v="650"/>
    <n v="9248"/>
    <n v="14192"/>
    <n v="1"/>
    <n v="5874.0047800000002"/>
    <n v="2.5776262045445531E-3"/>
    <n v="1.5384615384615385E-3"/>
    <n v="5874.0047800000002"/>
    <n v="23.293828686996868"/>
    <n v="0.65163472378804965"/>
    <n v="635.16487673010386"/>
  </r>
  <r>
    <s v="Online Behavior&gt;United States&gt;Intent ¬ª Shopping&gt;Auto Parts Stores"/>
    <x v="1"/>
    <x v="0"/>
    <s v="West Palm Beach-Ft. Pierce, Florida"/>
    <s v="Florida"/>
    <s v="insider.com"/>
    <s v="Google Ad Manager"/>
    <x v="1"/>
    <n v="102905"/>
    <n v="421"/>
    <n v="45324"/>
    <n v="99065"/>
    <n v="1"/>
    <n v="6407.5818280000003"/>
    <n v="4.0911520334288905E-3"/>
    <n v="2.3752969121140144E-3"/>
    <n v="6407.5818280000003"/>
    <n v="62.266963004713084"/>
    <n v="0.45751779134911424"/>
    <n v="141.37282296355133"/>
  </r>
  <r>
    <s v="Online Behavior&gt;United States&gt;Sports&gt;Individual Sports ¬ª Skate Sports"/>
    <x v="1"/>
    <x v="1"/>
    <s v="Charleston, South Carolina"/>
    <s v="South Carolina"/>
    <s v="medical-news.org"/>
    <s v="Yahoo Exchange"/>
    <x v="1"/>
    <n v="117879"/>
    <n v="390"/>
    <n v="52098"/>
    <n v="86127"/>
    <n v="1"/>
    <n v="5102.7067290000005"/>
    <n v="3.3084773369302422E-3"/>
    <n v="2.5641025641025641E-3"/>
    <n v="5102.7067290000005"/>
    <n v="43.287665563840889"/>
    <n v="0.60489741892786231"/>
    <n v="97.94438805712312"/>
  </r>
  <r>
    <s v="US ¬ª AUTO ¬ª Decision Maker for Auto Purchase ¬ª I was the sole decision-maker"/>
    <x v="0"/>
    <x v="0"/>
    <s v="New York City, New York"/>
    <s v="New York"/>
    <s v="yahoo.com"/>
    <s v="Google Ad Manager"/>
    <x v="1"/>
    <n v="1116343"/>
    <n v="3104"/>
    <n v="550519"/>
    <n v="977978"/>
    <n v="9"/>
    <n v="2494.217596"/>
    <n v="2.780507424689365E-3"/>
    <n v="2.8994845360824743E-3"/>
    <n v="277.13528844444443"/>
    <n v="2.2342753042747612"/>
    <n v="0.56291552570712222"/>
    <n v="4.5306657826523695"/>
  </r>
  <r>
    <s v="US ¬ª Reach ¬ª Propensity Models ¬ª Hobbies and Interest ¬ª Sports ¬ª Boating"/>
    <x v="0"/>
    <x v="0"/>
    <s v="Chicago, Illinois"/>
    <s v="Illinois"/>
    <s v="weather.com"/>
    <s v="Magnite DV+"/>
    <x v="1"/>
    <n v="564387"/>
    <n v="1984"/>
    <n v="78234"/>
    <n v="438695"/>
    <n v="6"/>
    <n v="2712.3796779999998"/>
    <n v="3.5153183896865095E-3"/>
    <n v="3.0241935483870967E-3"/>
    <n v="452.06327966666663"/>
    <n v="4.8058861703051274"/>
    <n v="0.17833346630346825"/>
    <n v="34.670088171383284"/>
  </r>
  <r>
    <s v="Online Behavior&gt;United States&gt;Intent ¬ª Auto Buyers ¬ª Car Make&gt;Peugeot"/>
    <x v="0"/>
    <x v="1"/>
    <s v="New York City, New York"/>
    <s v="New York"/>
    <s v="usatoday.com"/>
    <s v="Google Ad Manager"/>
    <x v="1"/>
    <n v="186404"/>
    <n v="940"/>
    <n v="30885"/>
    <n v="151358"/>
    <n v="3"/>
    <n v="4702.027505"/>
    <n v="5.0428102401236024E-3"/>
    <n v="3.1914893617021275E-3"/>
    <n v="1567.3425016666667"/>
    <n v="25.224928139954081"/>
    <n v="0.20405264340173629"/>
    <n v="152.24307932653392"/>
  </r>
  <r>
    <s v="Online Behavior&gt;United States&gt;Sports&gt;Winter Sports ¬ª Ice Skating"/>
    <x v="0"/>
    <x v="2"/>
    <s v="Chicago, Illinois"/>
    <s v="Illinois"/>
    <s v="mail.yahoo.com"/>
    <s v="Google Ad Manager"/>
    <x v="1"/>
    <n v="470192"/>
    <n v="940"/>
    <n v="336480"/>
    <n v="443202"/>
    <n v="3"/>
    <n v="4963.9662509999998"/>
    <n v="1.9991833123489977E-3"/>
    <n v="3.1914893617021275E-3"/>
    <n v="1654.6554169999999"/>
    <n v="10.557317544747677"/>
    <n v="0.75920235016990001"/>
    <n v="14.752633889087019"/>
  </r>
  <r>
    <s v="Online Behavior&gt;United States&gt;Sports&gt;Individual Sports ¬ª Cycling"/>
    <x v="0"/>
    <x v="3"/>
    <s v="Memphis, Tennessee"/>
    <s v="Tennessee"/>
    <s v="msn.com"/>
    <s v="TripleLift"/>
    <x v="0"/>
    <n v="117518"/>
    <n v="299"/>
    <n v="66458"/>
    <n v="86571"/>
    <n v="1"/>
    <n v="5999.9937810000001"/>
    <n v="2.5442910873227933E-3"/>
    <n v="3.3444816053511705E-3"/>
    <n v="5999.9937810000001"/>
    <n v="51.055955521707311"/>
    <n v="0.76767046701551322"/>
    <n v="90.282490911553168"/>
  </r>
  <r>
    <s v="US ¬ª Interest Propensities ¬ª TV and Movies ¬ª Drama"/>
    <x v="0"/>
    <x v="3"/>
    <s v="Los Angeles, California"/>
    <s v="California"/>
    <s v="yahoo.com"/>
    <s v="PubMatic"/>
    <x v="1"/>
    <n v="556152"/>
    <n v="1867"/>
    <n v="221833"/>
    <n v="480882"/>
    <n v="7"/>
    <n v="1818.100044"/>
    <n v="3.3569959291704426E-3"/>
    <n v="3.7493304767005891E-3"/>
    <n v="259.72857771428573"/>
    <n v="3.2690704052129633"/>
    <n v="0.46130443643139063"/>
    <n v="8.1958051507214886"/>
  </r>
  <r>
    <s v="Online Behavior&gt;United States&gt;Finance ¬ª Banking&gt;ATMs and Branch Locations"/>
    <x v="1"/>
    <x v="0"/>
    <s v="Los Angeles, California"/>
    <s v="California"/>
    <s v="dailyhodl.com"/>
    <s v="Xandr - Monetize SSP (AppNexus)"/>
    <x v="1"/>
    <n v="39212"/>
    <n v="260"/>
    <n v="31317"/>
    <n v="37660"/>
    <n v="1"/>
    <n v="3621.4177030000001"/>
    <n v="6.6306232785881877E-3"/>
    <n v="3.8461538461538464E-3"/>
    <n v="3621.4177030000001"/>
    <n v="92.354832780781393"/>
    <n v="0.83157195963887409"/>
    <n v="115.63743982501518"/>
  </r>
  <r>
    <s v="Media &amp; Entertainment"/>
    <x v="0"/>
    <x v="0"/>
    <s v="Chicago, Illinois"/>
    <s v="Illinois"/>
    <s v="yahoo.com"/>
    <s v="Google Ad Manager"/>
    <x v="1"/>
    <n v="421110"/>
    <n v="984"/>
    <n v="212140"/>
    <n v="389474"/>
    <n v="4"/>
    <n v="1635.920216"/>
    <n v="2.3366816271283039E-3"/>
    <n v="4.0650406504065045E-3"/>
    <n v="408.980054"/>
    <n v="3.884781211559925"/>
    <n v="0.54468334214864145"/>
    <n v="7.7115122843405297"/>
  </r>
  <r>
    <s v="Online Behavior&gt;United States&gt;Travel&gt;Specialty Travel ¬ª Agritourism"/>
    <x v="0"/>
    <x v="0"/>
    <s v="Los Angeles, California"/>
    <s v="California"/>
    <s v="mail.yahoo.com"/>
    <s v="PubMatic"/>
    <x v="1"/>
    <n v="1720462"/>
    <n v="4865"/>
    <n v="940296"/>
    <n v="1516537"/>
    <n v="20"/>
    <n v="5906.4649669999999"/>
    <n v="2.8277288309767959E-3"/>
    <n v="4.1109969167523125E-3"/>
    <n v="295.32324834999997"/>
    <n v="3.4330691215499094"/>
    <n v="0.62002839363629114"/>
    <n v="6.2814953663527229"/>
  </r>
  <r>
    <s v="Online Behavior&gt;United States&gt;Intent ¬ª Shopping&gt;CPGª Home Care"/>
    <x v="1"/>
    <x v="0"/>
    <s v="Tampa-St Petersburg (Sarasota), Florida"/>
    <s v="Florida"/>
    <s v="weather.com"/>
    <s v="Google Ad Manager"/>
    <x v="1"/>
    <n v="210700"/>
    <n v="704"/>
    <n v="94625"/>
    <n v="180681"/>
    <n v="3"/>
    <n v="6341.8793009999999"/>
    <n v="3.3412434741338396E-3"/>
    <n v="4.261363636363636E-3"/>
    <n v="2113.9597669999998"/>
    <n v="30.099094926435694"/>
    <n v="0.52371306335475232"/>
    <n v="67.021181516512556"/>
  </r>
  <r>
    <s v="Media and Entertainment ¬ª Sports and Recreational Activities ¬ª Interest (Affinity) ¬ª Team Sports ¬ª Baseball"/>
    <x v="1"/>
    <x v="2"/>
    <s v="Los Angeles, California"/>
    <s v="California"/>
    <s v="news.yahoo.com"/>
    <s v="PubMatic"/>
    <x v="1"/>
    <n v="73544"/>
    <n v="223"/>
    <n v="40405"/>
    <n v="67406"/>
    <n v="1"/>
    <n v="1465.8722660000001"/>
    <n v="3.0321984118350919E-3"/>
    <n v="4.4843049327354259E-3"/>
    <n v="1465.8722660000001"/>
    <n v="19.931908326987926"/>
    <n v="0.59942735068094832"/>
    <n v="36.279476945922539"/>
  </r>
  <r>
    <s v="Travel and Tourism ¬ª Interest (Affinity) ¬ª Products ¬ª Hotels and Lodging"/>
    <x v="0"/>
    <x v="1"/>
    <s v="Miami-Ft. Lauderdale, Florida"/>
    <s v="Florida"/>
    <s v="mail.yahoo.com"/>
    <s v="Smart RTB+ (Smartadserver)"/>
    <x v="1"/>
    <n v="679098"/>
    <n v="1984"/>
    <n v="467726"/>
    <n v="634589"/>
    <n v="9"/>
    <n v="1477.4248560000001"/>
    <n v="2.9215223723232878E-3"/>
    <n v="4.5362903225806455E-3"/>
    <n v="164.15831733333334"/>
    <n v="2.1755694406403792"/>
    <n v="0.73705343143357349"/>
    <n v="3.1587400657649995"/>
  </r>
  <r>
    <s v="US ¬ª Reach ¬ª Propensity Models ¬ª Hobbies and Interest ¬ª Sports ¬ª Avid Runners"/>
    <x v="0"/>
    <x v="3"/>
    <s v="Lansing, Michigan"/>
    <s v="Michigan"/>
    <s v="cbsnews.com"/>
    <s v="BidSwitch"/>
    <x v="1"/>
    <n v="510778"/>
    <n v="1290"/>
    <n v="70777"/>
    <n v="436133"/>
    <n v="6"/>
    <n v="3870.2538669999999"/>
    <n v="2.5255590491368072E-3"/>
    <n v="4.6511627906976744E-3"/>
    <n v="645.04231116666665"/>
    <n v="7.5771741676423021"/>
    <n v="0.16228306502832851"/>
    <n v="54.682366686918066"/>
  </r>
  <r>
    <s v="Online Behavior&gt;United States&gt;Beauty and Fitness&gt;Weight Loss"/>
    <x v="2"/>
    <x v="2"/>
    <s v="Chicago, Illinois"/>
    <s v="Illinois"/>
    <s v="mail.yahoo.com"/>
    <s v="Magnite DV+"/>
    <x v="1"/>
    <n v="1083050"/>
    <n v="3984"/>
    <n v="590156"/>
    <n v="953556"/>
    <n v="19"/>
    <n v="7495.749847"/>
    <n v="3.6785005309080835E-3"/>
    <n v="4.7690763052208839E-3"/>
    <n v="394.51314984210529"/>
    <n v="6.9209638031485161"/>
    <n v="0.61890020093208997"/>
    <n v="12.701302447149567"/>
  </r>
  <r>
    <s v="Online Behavior&gt;United States&gt;Autos and Vehicles ¬ª Brands&gt;Aston Martin"/>
    <x v="0"/>
    <x v="0"/>
    <s v="Orlando-Daytona Beach, Florida"/>
    <s v="Florida"/>
    <s v="yahoo.com"/>
    <s v="Google Ad Manager"/>
    <x v="0"/>
    <n v="84460"/>
    <n v="209"/>
    <n v="13169"/>
    <n v="26688"/>
    <n v="1"/>
    <n v="4279.230955"/>
    <n v="2.4745441629173575E-3"/>
    <n v="4.7846889952153108E-3"/>
    <n v="4279.230955"/>
    <n v="50.665770246270426"/>
    <n v="0.49344274580335734"/>
    <n v="324.94729706128027"/>
  </r>
  <r>
    <s v="Online Behavior&gt;United States&gt;Life Event&gt;University Graduation"/>
    <x v="0"/>
    <x v="1"/>
    <s v="New York City, New York"/>
    <s v="New York"/>
    <s v="yahoo.com"/>
    <s v="Google Ad Manager"/>
    <x v="1"/>
    <n v="1221746"/>
    <n v="3874"/>
    <n v="512107"/>
    <n v="1088748"/>
    <n v="19"/>
    <n v="7483.8871870000003"/>
    <n v="3.1708718506137938E-3"/>
    <n v="4.90449148167269E-3"/>
    <n v="393.88879931578947"/>
    <n v="6.125567169444385"/>
    <n v="0.47036320617810551"/>
    <n v="14.613913082617501"/>
  </r>
  <r>
    <s v="US ¬ª Reach ¬ª Propensity Models ¬ª Hobbies and Interest ¬ª Music ¬ª Listens to Country Music"/>
    <x v="0"/>
    <x v="3"/>
    <s v="San Francisco, California"/>
    <s v="California"/>
    <s v="microsoftcasualgames.com"/>
    <s v="PulsePoint"/>
    <x v="1"/>
    <n v="292578"/>
    <n v="812"/>
    <n v="6474"/>
    <n v="12323"/>
    <n v="4"/>
    <n v="1826.3187379999999"/>
    <n v="2.7753282885247693E-3"/>
    <n v="4.9261083743842365E-3"/>
    <n v="456.57968449999998"/>
    <n v="6.242160169254011"/>
    <n v="0.52535908463848091"/>
    <n v="282.10051560086498"/>
  </r>
  <r>
    <s v="US ¬ª Reach ¬ª Propensity Models ¬ª Hobbies and Interest ¬ª Food and Drinks ¬ª Eats at Family Restaurants"/>
    <x v="1"/>
    <x v="0"/>
    <s v="Flint-Saginaw-Bay City, Michigan"/>
    <s v="Michigan"/>
    <s v="poshland.com"/>
    <s v="Google Ad Manager"/>
    <x v="1"/>
    <n v="268811"/>
    <n v="799"/>
    <n v="95989"/>
    <n v="173923"/>
    <n v="4"/>
    <n v="2549.1151580000001"/>
    <n v="2.9723486018057295E-3"/>
    <n v="5.0062578222778474E-3"/>
    <n v="637.27878950000002"/>
    <n v="9.4829272537210176"/>
    <n v="0.55190515342996616"/>
    <n v="26.556325808165521"/>
  </r>
  <r>
    <s v="US ¬ª Sociodemographic ¬ª ConneXions Lifestage ¬ª F2 Suburban Spenders"/>
    <x v="1"/>
    <x v="1"/>
    <s v="San Francisco, California"/>
    <s v="California"/>
    <s v="weather.com"/>
    <s v="Google Ad Manager"/>
    <x v="1"/>
    <n v="292885"/>
    <n v="796"/>
    <n v="12733"/>
    <n v="203986"/>
    <n v="4"/>
    <n v="1503.9130540000001"/>
    <n v="2.7177902589753658E-3"/>
    <n v="5.0251256281407036E-3"/>
    <n v="375.97826350000003"/>
    <n v="5.1348244327978563"/>
    <n v="6.2420950457384328E-2"/>
    <n v="118.11144694887301"/>
  </r>
  <r>
    <s v="US ¬ª Brand Propensities ¬ª Media and Entertainment ¬ª Steam Community Buyer Propensity"/>
    <x v="1"/>
    <x v="1"/>
    <s v="San Francisco, California"/>
    <s v="California"/>
    <s v="mail.yahoo.com"/>
    <s v="Google Ad Manager"/>
    <x v="1"/>
    <n v="780475"/>
    <n v="2186"/>
    <n v="453974"/>
    <n v="691696"/>
    <n v="11"/>
    <n v="1726.2494569999999"/>
    <n v="2.8008584515839714E-3"/>
    <n v="5.0320219579139984E-3"/>
    <n v="156.93176881818181"/>
    <n v="2.2117934040167846"/>
    <n v="0.65632011750826957"/>
    <n v="3.8025293452929021"/>
  </r>
  <r>
    <s v="Lotame ¬ª Social Media"/>
    <x v="0"/>
    <x v="2"/>
    <s v="Chicago, Illinois"/>
    <s v="Illinois"/>
    <s v="msn.com"/>
    <s v="Google Ad Manager"/>
    <x v="1"/>
    <n v="554980"/>
    <n v="1542"/>
    <n v="323498"/>
    <n v="467646"/>
    <n v="8"/>
    <n v="1600.7695880000001"/>
    <n v="2.7784785037298643E-3"/>
    <n v="5.1880674448767832E-3"/>
    <n v="200.09619850000001"/>
    <n v="2.8843734693142098"/>
    <n v="0.69175829580494652"/>
    <n v="4.9483137082764044"/>
  </r>
  <r>
    <s v="Online Behavior&gt;United States&gt;Autos and Vehicles ¬ª Brands&gt;Mitsubishi"/>
    <x v="0"/>
    <x v="1"/>
    <s v="San Francisco, California"/>
    <s v="California"/>
    <s v="msn.com"/>
    <s v="Smart RTB+ (Smartadserver)"/>
    <x v="1"/>
    <n v="335461"/>
    <n v="963"/>
    <n v="171464"/>
    <n v="247450"/>
    <n v="5"/>
    <n v="4445.8746289999999"/>
    <n v="2.8706764720787216E-3"/>
    <n v="5.1921079958463139E-3"/>
    <n v="889.17492579999998"/>
    <n v="13.253029797800638"/>
    <n v="0.69292382299454436"/>
    <n v="25.928910027760928"/>
  </r>
  <r>
    <s v="US ¬ª Interest Propensities ¬ª Activities and Interests ¬ª Fashion"/>
    <x v="0"/>
    <x v="2"/>
    <s v="West Palm Beach-Ft. Pierce, Florida"/>
    <s v="Florida"/>
    <s v="ebay.com"/>
    <s v="PubMatic"/>
    <x v="0"/>
    <n v="61442"/>
    <n v="190"/>
    <n v="17048"/>
    <n v="54166"/>
    <n v="1"/>
    <n v="1609.1499329999999"/>
    <n v="3.0923472543211484E-3"/>
    <n v="5.263157894736842E-3"/>
    <n v="1609.1499329999999"/>
    <n v="26.189738826861102"/>
    <n v="0.31473618136838605"/>
    <n v="94.389367257156266"/>
  </r>
  <r>
    <s v="Online Behavior&gt;United States&gt;B2B ¬ª Occupation&gt;ComputerProgrammer"/>
    <x v="0"/>
    <x v="3"/>
    <s v="Chattanooga, Tennessee"/>
    <s v="Tennessee"/>
    <s v="realtor.com"/>
    <s v="Yahoo Exchange"/>
    <x v="2"/>
    <n v="114194"/>
    <n v="380"/>
    <n v="50923"/>
    <n v="104074"/>
    <n v="2"/>
    <n v="4036.0893759999999"/>
    <n v="3.3276704555405714E-3"/>
    <n v="5.263157894736842E-3"/>
    <n v="2018.044688"/>
    <n v="35.344145716937838"/>
    <n v="0.4892960777908027"/>
    <n v="79.25867242699762"/>
  </r>
  <r>
    <s v="Online Behavior&gt;United States&gt;Travel&gt;Business Travel"/>
    <x v="1"/>
    <x v="1"/>
    <s v="Chicago, Illinois"/>
    <s v="Illinois"/>
    <s v="marca.com"/>
    <s v="Google Ad Manager"/>
    <x v="1"/>
    <n v="45965"/>
    <n v="190"/>
    <n v="10028"/>
    <n v="37295"/>
    <n v="1"/>
    <n v="4718.8361139999997"/>
    <n v="4.1335798977482864E-3"/>
    <n v="5.263157894736842E-3"/>
    <n v="4718.8361139999997"/>
    <n v="102.66150579788969"/>
    <n v="0.2688832283147875"/>
    <n v="470.56602652572798"/>
  </r>
  <r>
    <s v="US ¬ª Sociodemographic ¬ª P$YCLE Premier Lifestage ¬ª Y3 Fiscal Fledglings"/>
    <x v="1"/>
    <x v="2"/>
    <s v="Chicago, Illinois"/>
    <s v="Illinois"/>
    <s v="msn.com"/>
    <s v="Google Ad Manager"/>
    <x v="1"/>
    <n v="297347"/>
    <n v="751"/>
    <n v="166412"/>
    <n v="251319"/>
    <n v="4"/>
    <n v="2255.5224090000002"/>
    <n v="2.5256686632116683E-3"/>
    <n v="5.3262316910785623E-3"/>
    <n v="563.88060225000004"/>
    <n v="7.5854890380599107"/>
    <n v="0.66215447300044961"/>
    <n v="13.553844728745522"/>
  </r>
  <r>
    <s v="Online Behavior&gt;United States&gt;Validated Demographic ¬ª Gender and Age Combined&gt;Females 18-64"/>
    <x v="1"/>
    <x v="2"/>
    <s v="Chicago, Illinois"/>
    <s v="Illinois"/>
    <s v="mail.yahoo.com"/>
    <s v="Yahoo Exchange"/>
    <x v="1"/>
    <n v="742281"/>
    <n v="1999"/>
    <n v="432673"/>
    <n v="642404"/>
    <n v="11"/>
    <n v="6024.4224869999998"/>
    <n v="2.6930502060540417E-3"/>
    <n v="5.5027513756878439E-3"/>
    <n v="547.67477154545452"/>
    <n v="8.1160941570645075"/>
    <n v="0.67352164681415438"/>
    <n v="13.923731055554656"/>
  </r>
  <r>
    <s v="US ¬ª Brand Propensities ¬ª Automotive ¬ª Tirerack.com Buyer Propensity"/>
    <x v="0"/>
    <x v="1"/>
    <s v="Nashville, Tennessee"/>
    <s v="Tennessee"/>
    <s v="mail.yahoo.com"/>
    <s v="Google Ad Manager"/>
    <x v="1"/>
    <n v="482834"/>
    <n v="1269"/>
    <n v="292059"/>
    <n v="428761"/>
    <n v="7"/>
    <n v="1594.463397"/>
    <n v="2.6282324774145982E-3"/>
    <n v="5.5161544523246652E-3"/>
    <n v="227.78048528571429"/>
    <n v="3.3023014058661984"/>
    <n v="0.68116969593783017"/>
    <n v="5.4593879900978903"/>
  </r>
  <r>
    <s v="Mobile - US ¬ª Automotive ¬ª Vehicle Ownership ¬ª yes"/>
    <x v="2"/>
    <x v="1"/>
    <s v="Chicago, Illinois"/>
    <s v="Illinois"/>
    <s v="mail.yahoo.com"/>
    <s v="Google Ad Manager"/>
    <x v="1"/>
    <n v="562103"/>
    <n v="1450"/>
    <n v="340616"/>
    <n v="488921"/>
    <n v="8"/>
    <n v="1733.8301719999999"/>
    <n v="2.5795984010047982E-3"/>
    <n v="5.5172413793103444E-3"/>
    <n v="216.72877149999999"/>
    <n v="3.0845417512448789"/>
    <n v="0.69666878698194601"/>
    <n v="5.0902781196420603"/>
  </r>
  <r>
    <s v="US ¬ª Reach ¬ª Propensity Models ¬ª Hobbies and Interest ¬ª Food and Drinks ¬ª Coffee Connoisseurs"/>
    <x v="1"/>
    <x v="3"/>
    <s v="Miami-Ft. Lauderdale, Florida"/>
    <s v="Florida"/>
    <s v="yahoo.com"/>
    <s v="Google Ad Manager"/>
    <x v="1"/>
    <n v="263752"/>
    <n v="702"/>
    <n v="127042"/>
    <n v="225121"/>
    <n v="4"/>
    <n v="1465.5147099999999"/>
    <n v="2.6615911917255604E-3"/>
    <n v="5.6980056980056983E-3"/>
    <n v="366.37867749999998"/>
    <n v="5.5564117428493427"/>
    <n v="0.56432762825325045"/>
    <n v="11.535670959210339"/>
  </r>
  <r>
    <s v="Mobile - US ¬ª Food ¬ª Restaurant ¬ª Brand ¬ª Chilis"/>
    <x v="0"/>
    <x v="2"/>
    <s v="San Francisco, California"/>
    <s v="California"/>
    <s v="outlook.live.com"/>
    <s v="BidSwitch"/>
    <x v="2"/>
    <n v="87245"/>
    <n v="350"/>
    <n v="71903"/>
    <n v="80390"/>
    <n v="2"/>
    <n v="1500.838771"/>
    <n v="4.0116912143962407E-3"/>
    <n v="5.7142857142857143E-3"/>
    <n v="750.41938549999998"/>
    <n v="17.20257631955986"/>
    <n v="0.89442716755815399"/>
    <n v="20.873103639625604"/>
  </r>
  <r>
    <s v="US ¬ª Interest Propensities ¬ª Music ¬ª Hip Hop and Rap"/>
    <x v="1"/>
    <x v="1"/>
    <s v="Knoxville, Tennessee"/>
    <s v="Tennessee"/>
    <s v="weather.com"/>
    <s v="Google Ad Manager"/>
    <x v="1"/>
    <n v="254780"/>
    <n v="699"/>
    <n v="19169"/>
    <n v="182583"/>
    <n v="4"/>
    <n v="1561.021915"/>
    <n v="2.7435434492503337E-3"/>
    <n v="5.7224606580829757E-3"/>
    <n v="390.25547875000001"/>
    <n v="6.1269405565585995"/>
    <n v="0.10498786853102425"/>
    <n v="81.434707861651631"/>
  </r>
  <r>
    <s v="Online Behavior&gt;United States&gt;Autos and Vehicles ¬ª Brands&gt;LandRover"/>
    <x v="0"/>
    <x v="2"/>
    <s v="Jacksonville, Florida"/>
    <s v="Florida"/>
    <s v="ebay.com"/>
    <s v="Google Ad Manager"/>
    <x v="2"/>
    <n v="104538"/>
    <n v="347"/>
    <n v="49049"/>
    <n v="97093"/>
    <n v="2"/>
    <n v="5266.4242329999997"/>
    <n v="3.319367120090302E-3"/>
    <n v="5.763688760806916E-3"/>
    <n v="2633.2121164999999"/>
    <n v="50.378084839962497"/>
    <n v="0.50517545034142519"/>
    <n v="107.37067489653204"/>
  </r>
  <r>
    <s v="Online Behavior&gt;United States&gt;Hobbies and Leisure&gt;Water Activities"/>
    <x v="1"/>
    <x v="2"/>
    <s v="Charleston, South Carolina"/>
    <s v="South Carolina"/>
    <s v="weather.com"/>
    <s v="Google Ad Manager"/>
    <x v="1"/>
    <n v="156427"/>
    <n v="512"/>
    <n v="61821"/>
    <n v="145505"/>
    <n v="3"/>
    <n v="5159.7474940000002"/>
    <n v="3.2730922411092715E-3"/>
    <n v="5.859375E-3"/>
    <n v="1719.9158313333335"/>
    <n v="32.985018532606269"/>
    <n v="0.42487199752585819"/>
    <n v="83.46269866226686"/>
  </r>
  <r>
    <s v="US Technology ¬ª Social Media ¬ª Likely Behavior ¬ª Heavy Facebook User"/>
    <x v="0"/>
    <x v="3"/>
    <s v="New York City, New York"/>
    <s v="New York"/>
    <s v="zillow.com"/>
    <s v="Google Ad Manager"/>
    <x v="1"/>
    <n v="312206"/>
    <n v="841"/>
    <n v="35661"/>
    <n v="292992"/>
    <n v="5"/>
    <n v="1550.938318"/>
    <n v="2.6937342651966972E-3"/>
    <n v="5.945303210463734E-3"/>
    <n v="310.18766360000001"/>
    <n v="4.9676762073758987"/>
    <n v="0.12171322083879424"/>
    <n v="43.491161717282182"/>
  </r>
  <r>
    <s v="US ¬ª Brand Propensities ¬ª Apparel ¬ª Lady Foot Locker Buyer Propensity"/>
    <x v="0"/>
    <x v="0"/>
    <s v="Shreveport, Louisiana"/>
    <s v="Louisiana"/>
    <s v="thesaurus.com"/>
    <s v="PubMatic"/>
    <x v="0"/>
    <n v="57257"/>
    <n v="167"/>
    <n v="3797"/>
    <n v="51520"/>
    <n v="1"/>
    <n v="1841.3581260000001"/>
    <n v="2.916673943797265E-3"/>
    <n v="5.9880239520958087E-3"/>
    <n v="1841.3581260000001"/>
    <n v="32.159528546727913"/>
    <n v="7.3699534161490679E-2"/>
    <n v="484.95078377666584"/>
  </r>
  <r>
    <s v="Online Behavior&gt;United States&gt;Intent ¬ª Shopping&gt;Consumer Electronics ¬ª Televisions/TVs"/>
    <x v="1"/>
    <x v="0"/>
    <s v="Chicago, Illinois"/>
    <s v="Illinois"/>
    <s v="msn.com"/>
    <s v="PubMatic"/>
    <x v="1"/>
    <n v="192201"/>
    <n v="489"/>
    <n v="113707"/>
    <n v="157940"/>
    <n v="3"/>
    <n v="6176.0041540000002"/>
    <n v="2.5442115285560429E-3"/>
    <n v="6.1349693251533744E-3"/>
    <n v="2058.6680513333336"/>
    <n v="32.133049016394295"/>
    <n v="0.71993795112067871"/>
    <n v="54.315074305012004"/>
  </r>
  <r>
    <s v="US ¬ª Reach ¬ª Sociodemographic ¬ª Age ¬ª 45-49"/>
    <x v="0"/>
    <x v="0"/>
    <s v="Nashville, Tennessee"/>
    <s v="Tennessee"/>
    <s v="forbes.com"/>
    <s v="Google Ad Manager"/>
    <x v="0"/>
    <n v="69239"/>
    <n v="160"/>
    <n v="23112"/>
    <n v="65390"/>
    <n v="1"/>
    <n v="4514.9527239999998"/>
    <n v="2.3108363783416862E-3"/>
    <n v="6.2500000000000003E-3"/>
    <n v="4514.9527239999998"/>
    <n v="65.208231256950555"/>
    <n v="0.35344853953203853"/>
    <n v="195.35101782623744"/>
  </r>
  <r>
    <s v="Online Behavior&gt;United States&gt;Beauty and Fitness&gt;Spas and Beauty Services ¬ª Massage Therapy"/>
    <x v="0"/>
    <x v="3"/>
    <s v="San Francisco, California"/>
    <s v="California"/>
    <s v="msn.com"/>
    <s v="Google Ad Manager"/>
    <x v="1"/>
    <n v="109128"/>
    <n v="470"/>
    <n v="38487"/>
    <n v="90615"/>
    <n v="3"/>
    <n v="5153.1172040000001"/>
    <n v="4.3068689978740561E-3"/>
    <n v="6.382978723404255E-3"/>
    <n v="1717.7057346666668"/>
    <n v="47.220852613444762"/>
    <n v="0.42473100480052972"/>
    <n v="133.8924105282303"/>
  </r>
  <r>
    <s v="Media and Entertainment ¬ª Movies ¬ª Enthusiasts"/>
    <x v="1"/>
    <x v="0"/>
    <s v="Jacksonville, Florida"/>
    <s v="Florida"/>
    <s v="wsvn.com"/>
    <s v="BidSwitch"/>
    <x v="1"/>
    <n v="13466"/>
    <n v="150"/>
    <n v="8684"/>
    <n v="11766"/>
    <n v="1"/>
    <n v="1527.1762739999999"/>
    <n v="1.1139165305213129E-2"/>
    <n v="6.6666666666666671E-3"/>
    <n v="1527.1762739999999"/>
    <n v="113.40979310856973"/>
    <n v="0.73805881353051161"/>
    <n v="175.86092514970059"/>
  </r>
  <r>
    <s v="US ¬ª Brand Propensities ¬ª Travel ¬ª Choice Hotels Buyer Propensity"/>
    <x v="0"/>
    <x v="3"/>
    <s v="Chicago, Illinois"/>
    <s v="Illinois"/>
    <s v="biblegateway.com"/>
    <s v="Magnite DV+"/>
    <x v="1"/>
    <n v="210096"/>
    <n v="590"/>
    <n v="90928"/>
    <n v="184823"/>
    <n v="4"/>
    <n v="2027.431388"/>
    <n v="2.808240042647171E-3"/>
    <n v="6.7796610169491523E-3"/>
    <n v="506.85784699999999"/>
    <n v="9.6500237415276828"/>
    <n v="0.49197340157880781"/>
    <n v="22.297107469646313"/>
  </r>
  <r>
    <s v="Online Behavior&gt;United States&gt;Autos and Vehicles&gt;Electric and Plug-In Vehicles"/>
    <x v="1"/>
    <x v="3"/>
    <s v="San Francisco, California"/>
    <s v="California"/>
    <s v="msn.com"/>
    <s v="PubMatic"/>
    <x v="1"/>
    <n v="1601933"/>
    <n v="4265"/>
    <n v="1135085"/>
    <n v="1487426"/>
    <n v="29"/>
    <n v="6785.7097899999999"/>
    <n v="2.6624084777578088E-3"/>
    <n v="6.7995310668229779E-3"/>
    <n v="233.98999275862067"/>
    <n v="4.235951060375184"/>
    <n v="0.76312031657373203"/>
    <n v="5.9781512309650822"/>
  </r>
  <r>
    <s v="US ¬ª Reach ¬ª Propensity Models ¬ª Hobbies and Interest ¬ª Pets ¬ª Pet Enthusiast"/>
    <x v="0"/>
    <x v="2"/>
    <s v="Los Angeles, California"/>
    <s v="California"/>
    <s v="msn.com"/>
    <s v="Google Ad Manager"/>
    <x v="1"/>
    <n v="321263"/>
    <n v="852"/>
    <n v="172887"/>
    <n v="263424"/>
    <n v="6"/>
    <n v="1576.051434"/>
    <n v="2.6520327582074499E-3"/>
    <n v="7.0422535211267607E-3"/>
    <n v="262.67523899999998"/>
    <n v="4.9057981591406419"/>
    <n v="0.65630694241982512"/>
    <n v="9.1160783286192704"/>
  </r>
  <r>
    <s v="Media and Entertainment ¬ª Connected TV and Over-the-Top (CTV and OTT)"/>
    <x v="0"/>
    <x v="1"/>
    <s v="Chicago, Illinois"/>
    <s v="Illinois"/>
    <s v="streetinsider.com"/>
    <s v="Google Ad Manager"/>
    <x v="1"/>
    <n v="756687"/>
    <n v="1984"/>
    <n v="442979"/>
    <n v="611813"/>
    <n v="14"/>
    <n v="2452.9975039999999"/>
    <n v="2.6219559738703056E-3"/>
    <n v="7.0564516129032256E-3"/>
    <n v="175.21410742857142"/>
    <n v="3.2417598082166075"/>
    <n v="0.72404313082592231"/>
    <n v="5.5375029154880924"/>
  </r>
  <r>
    <s v="Online Behavior&gt;United States&gt;The Changing Consumer&gt;Virtual Events"/>
    <x v="1"/>
    <x v="3"/>
    <s v="Miami-Ft. Lauderdale, Florida"/>
    <s v="Florida"/>
    <s v="yahoo.com"/>
    <s v="Google Ad Manager"/>
    <x v="1"/>
    <n v="571090"/>
    <n v="1541"/>
    <n v="246243"/>
    <n v="532325"/>
    <n v="11"/>
    <n v="4733.6187829999999"/>
    <n v="2.6983487716472012E-3"/>
    <n v="7.138221933809215E-3"/>
    <n v="430.32898027272728"/>
    <n v="8.2887439510409919"/>
    <n v="0.46258019067299111"/>
    <n v="19.223363843845306"/>
  </r>
  <r>
    <s v="US ¬ª Brand Propensities ¬ª Kids Products ¬ª Disney Buyer Propensity"/>
    <x v="0"/>
    <x v="0"/>
    <s v="New York City, New York"/>
    <s v="New York"/>
    <s v="nbcchicago.com"/>
    <s v="Google Ad Manager"/>
    <x v="2"/>
    <n v="50517"/>
    <n v="270"/>
    <n v="17179"/>
    <n v="48389"/>
    <n v="2"/>
    <n v="1718.4710769999999"/>
    <n v="5.3447354355959384E-3"/>
    <n v="7.4074074074074077E-3"/>
    <n v="859.23553849999996"/>
    <n v="34.017678741809682"/>
    <n v="0.3550187025976978"/>
    <n v="100.03324273822689"/>
  </r>
  <r>
    <s v="Media and Entertainment"/>
    <x v="1"/>
    <x v="3"/>
    <s v="New York City, New York"/>
    <s v="New York"/>
    <s v="weather.com"/>
    <s v="Google Ad Manager"/>
    <x v="1"/>
    <n v="654902"/>
    <n v="1874"/>
    <n v="40733"/>
    <n v="477114"/>
    <n v="14"/>
    <n v="3178.6103149999999"/>
    <n v="2.8614968346409083E-3"/>
    <n v="7.470651013874066E-3"/>
    <n v="227.04359392857143"/>
    <n v="4.8535663580199779"/>
    <n v="8.537372619541661E-2"/>
    <n v="78.03526170426926"/>
  </r>
  <r>
    <s v="Online Behavior&gt;United States&gt;Travel&gt;Carpooling and Vehicle Sharing"/>
    <x v="2"/>
    <x v="1"/>
    <s v="Miami-Ft. Lauderdale, Florida"/>
    <s v="Florida"/>
    <s v="slickdeals.net"/>
    <s v="PubMatic"/>
    <x v="1"/>
    <n v="46190"/>
    <n v="130"/>
    <n v="8618"/>
    <n v="41618"/>
    <n v="1"/>
    <n v="5464.1098169999996"/>
    <n v="2.8144620047629355E-3"/>
    <n v="7.6923076923076927E-3"/>
    <n v="5464.1098169999996"/>
    <n v="118.29638053691275"/>
    <n v="0.20707386227113267"/>
    <n v="634.0345575539568"/>
  </r>
  <r>
    <s v="US ¬ª Interest Propensities ¬ª Insurance ¬ª Transamerica"/>
    <x v="0"/>
    <x v="2"/>
    <s v="Chicago, Illinois"/>
    <s v="Illinois"/>
    <s v="yahoo.com"/>
    <s v="Google Ad Manager"/>
    <x v="2"/>
    <n v="598460"/>
    <n v="1654"/>
    <n v="201153"/>
    <n v="557263"/>
    <n v="13"/>
    <n v="1689.7445070000001"/>
    <n v="2.763760318149918E-3"/>
    <n v="7.8597339782345826E-3"/>
    <n v="129.98034669230771"/>
    <n v="2.8234877970123318"/>
    <n v="0.36096600707385917"/>
    <n v="8.4002948352746429"/>
  </r>
  <r>
    <s v="US ¬ª Financially in Charge ¬ª Performance Score: Top 25%"/>
    <x v="0"/>
    <x v="1"/>
    <s v="Tri-Cities, Tennessee-Virginia"/>
    <s v="Tennessee-Virginia"/>
    <s v="msn.com"/>
    <s v="Google Ad Manager"/>
    <x v="1"/>
    <n v="311753"/>
    <n v="763"/>
    <n v="170122"/>
    <n v="256841"/>
    <n v="6"/>
    <n v="1543.6126549999999"/>
    <n v="2.4474503854012633E-3"/>
    <n v="7.8636959370904317E-3"/>
    <n v="257.26877583333334"/>
    <n v="4.9513963137483836"/>
    <n v="0.66236309623463541"/>
    <n v="9.073562825501698"/>
  </r>
  <r>
    <s v="Online Behavior&gt;United States&gt;Hobbies and Leisure&gt;Special Occasions ¬ª Holidays and Seasonal Events"/>
    <x v="1"/>
    <x v="0"/>
    <s v="New York City, New York"/>
    <s v="New York"/>
    <s v="yahoo.com"/>
    <s v="GumGum"/>
    <x v="1"/>
    <n v="760502"/>
    <n v="2140"/>
    <n v="326721"/>
    <n v="700814"/>
    <n v="17"/>
    <n v="5179.0415320000002"/>
    <n v="2.8139307983410956E-3"/>
    <n v="7.9439252336448597E-3"/>
    <n v="304.64950188235298"/>
    <n v="6.8100301274684361"/>
    <n v="0.46620215920344055"/>
    <n v="15.851572234414073"/>
  </r>
  <r>
    <s v="Online Behavior&gt;United States&gt;Sports&gt;College Sports"/>
    <x v="0"/>
    <x v="2"/>
    <s v="Los Angeles, California"/>
    <s v="California"/>
    <s v="weather.com"/>
    <s v="Magnite DV+"/>
    <x v="1"/>
    <n v="1109184"/>
    <n v="3142"/>
    <n v="83035"/>
    <n v="782482"/>
    <n v="25"/>
    <n v="7490.8607789999996"/>
    <n v="2.8327130575269747E-3"/>
    <n v="7.9567154678548691E-3"/>
    <n v="299.63443115999996"/>
    <n v="6.7534879506015235"/>
    <n v="0.10611745701498565"/>
    <n v="90.21329293671343"/>
  </r>
  <r>
    <s v="Online Behavior&gt;United States&gt;Autos and Vehicles ¬ª Brands&gt;Porsche"/>
    <x v="1"/>
    <x v="1"/>
    <s v="Chicago, Illinois"/>
    <s v="Illinois"/>
    <s v="msn.com"/>
    <s v="OpenX"/>
    <x v="1"/>
    <n v="3196231"/>
    <n v="8745"/>
    <n v="2013324"/>
    <n v="2669103"/>
    <n v="70"/>
    <n v="5756.2711719999998"/>
    <n v="2.7360350362661524E-3"/>
    <n v="8.0045740423098921E-3"/>
    <n v="82.232445314285712"/>
    <n v="1.8009559296558977"/>
    <n v="0.75430734595105542"/>
    <n v="2.8590883394823683"/>
  </r>
  <r>
    <s v="US ¬ª Brand Propensities ¬ª Big Box Dollar General Buyer Propensity"/>
    <x v="1"/>
    <x v="1"/>
    <s v="Chicago, Illinois"/>
    <s v="Illinois"/>
    <s v="weather.com"/>
    <s v="Index Exchange"/>
    <x v="1"/>
    <n v="194833"/>
    <n v="499"/>
    <n v="29091"/>
    <n v="143813"/>
    <n v="4"/>
    <n v="1586.314519"/>
    <n v="2.5611677693203922E-3"/>
    <n v="8.0160320641282558E-3"/>
    <n v="396.57862975"/>
    <n v="8.1419190742841305"/>
    <n v="0.2022835209612483"/>
    <n v="54.529391186277543"/>
  </r>
  <r>
    <s v="US ¬ª Interest Propensities ¬ª Insurance ¬ª Northwestern Mutual"/>
    <x v="0"/>
    <x v="1"/>
    <s v="Chicago, Illinois"/>
    <s v="Illinois"/>
    <s v="ebay.com"/>
    <s v="GumGum"/>
    <x v="1"/>
    <n v="229908"/>
    <n v="489"/>
    <n v="98259"/>
    <n v="212073"/>
    <n v="4"/>
    <n v="1464.3489440000001"/>
    <n v="2.1269377316143847E-3"/>
    <n v="8.1799591002044997E-3"/>
    <n v="366.08723600000002"/>
    <n v="6.3692822520312475"/>
    <n v="0.46332630745073633"/>
    <n v="14.902949795947446"/>
  </r>
  <r>
    <s v="US ¬ª Brand Propensities ¬ª Health ¬ª Beauty and Cosmetics ¬ª ULTA Buyer Propensity"/>
    <x v="1"/>
    <x v="2"/>
    <s v="Toledo, Ohio"/>
    <s v="Ohio"/>
    <s v="mail.aol.com"/>
    <s v="Google Ad Manager"/>
    <x v="1"/>
    <n v="198754"/>
    <n v="480"/>
    <n v="137649"/>
    <n v="178415"/>
    <n v="4"/>
    <n v="1803.0814969999999"/>
    <n v="2.4150457349286052E-3"/>
    <n v="8.3333333333333332E-3"/>
    <n v="450.77037424999997"/>
    <n v="9.0719255813719464"/>
    <n v="0.77151024297284421"/>
    <n v="13.099125289686086"/>
  </r>
  <r>
    <s v="Online Behavior&gt;United States&gt;Beauty and Fitness&gt;Hair Care"/>
    <x v="1"/>
    <x v="1"/>
    <s v="San Francisco, California"/>
    <s v="California"/>
    <s v="msn.com"/>
    <s v="Google Ad Manager"/>
    <x v="1"/>
    <n v="999915"/>
    <n v="2748"/>
    <n v="618816"/>
    <n v="829942"/>
    <n v="23"/>
    <n v="7879.3167869999997"/>
    <n v="2.7482335998559879E-3"/>
    <n v="8.3697234352256185E-3"/>
    <n v="342.5789907391304"/>
    <n v="7.8799865858597977"/>
    <n v="0.74561354889859777"/>
    <n v="12.732891177668321"/>
  </r>
  <r>
    <s v="Online Behavior&gt;United States&gt;Validated Demographic ¬ª Gender and Age Combined&gt;Females 25-64"/>
    <x v="0"/>
    <x v="0"/>
    <s v="Ft. Myers-Naples, Florida"/>
    <s v="Florida"/>
    <s v="mail.yahoo.com"/>
    <s v="Google Ad Manager"/>
    <x v="1"/>
    <n v="766674"/>
    <n v="1984"/>
    <n v="344201"/>
    <n v="720606"/>
    <n v="17"/>
    <n v="5816.2346189999998"/>
    <n v="2.5878013340741956E-3"/>
    <n v="8.5685483870967735E-3"/>
    <n v="342.1314481764706"/>
    <n v="7.5863204165003637"/>
    <n v="0.47765491822160794"/>
    <n v="16.897785360879254"/>
  </r>
  <r>
    <s v="Online Behavior&gt;United States&gt;Intent ¬ª Auto Buyers ¬ª Category&gt;Sport Cars"/>
    <x v="1"/>
    <x v="1"/>
    <s v="Augusta, Georgia"/>
    <s v="Georgia"/>
    <s v="people.com"/>
    <s v="Google Ad Manager"/>
    <x v="1"/>
    <n v="81567"/>
    <n v="440"/>
    <n v="53264"/>
    <n v="68123"/>
    <n v="4"/>
    <n v="6392.471955"/>
    <n v="5.3943383966555099E-3"/>
    <n v="9.0909090909090905E-3"/>
    <n v="1598.11798875"/>
    <n v="78.370811173636397"/>
    <n v="0.78187983500433045"/>
    <n v="120.01486848528087"/>
  </r>
  <r>
    <s v="Online Behavior&gt;United States&gt;B2B ¬ª Occupation&gt;Entrepreneur"/>
    <x v="1"/>
    <x v="3"/>
    <s v="San Francisco, California"/>
    <s v="California"/>
    <s v="weather.com"/>
    <s v="PubMatic"/>
    <x v="1"/>
    <n v="686858"/>
    <n v="2085"/>
    <n v="81956"/>
    <n v="624118"/>
    <n v="19"/>
    <n v="7467.0814870000004"/>
    <n v="3.0355619356548223E-3"/>
    <n v="9.1127098321342921E-3"/>
    <n v="393.00428878947372"/>
    <n v="10.871361310489215"/>
    <n v="0.13131491160325451"/>
    <n v="91.11085810678901"/>
  </r>
  <r>
    <s v="US ¬ª B2B ¬ª B2B Decision Maker Responsibilities ¬ª Print, Copy or Photo Services"/>
    <x v="0"/>
    <x v="0"/>
    <s v="San Francisco, California"/>
    <s v="California"/>
    <s v="thesaurus.com"/>
    <s v="Google Ad Manager"/>
    <x v="1"/>
    <n v="141157"/>
    <n v="420"/>
    <n v="8280"/>
    <n v="107935"/>
    <n v="4"/>
    <n v="1631.7829489999999"/>
    <n v="2.9754103586786345E-3"/>
    <n v="9.5238095238095247E-3"/>
    <n v="407.94573724999998"/>
    <n v="11.560056879928021"/>
    <n v="7.6712836429332465E-2"/>
    <n v="197.07523538647342"/>
  </r>
  <r>
    <s v="OnAudience ¬ª Interest ¬ª News ¬ª International News"/>
    <x v="0"/>
    <x v="2"/>
    <s v="Tallahassee, Florida-Thomasville, Georgia"/>
    <s v="Florida-Thomasville, Georgia"/>
    <s v="weather.com"/>
    <s v="Index Exchange"/>
    <x v="1"/>
    <n v="197192"/>
    <n v="519"/>
    <n v="80623"/>
    <n v="181763"/>
    <n v="5"/>
    <n v="1584.731757"/>
    <n v="2.6319526147105358E-3"/>
    <n v="9.6339113680154135E-3"/>
    <n v="316.94635140000003"/>
    <n v="8.0364911203294245"/>
    <n v="0.44356112080016286"/>
    <n v="19.656075276285922"/>
  </r>
  <r>
    <s v="Online Behavior&gt;United States&gt;Life Event&gt;College Applications"/>
    <x v="1"/>
    <x v="0"/>
    <s v="Chicago, Illinois"/>
    <s v="Illinois"/>
    <s v="yahoo.com"/>
    <s v="Xandr - Monetize SSP (AppNexus)"/>
    <x v="1"/>
    <n v="446774"/>
    <n v="1245"/>
    <n v="163786"/>
    <n v="374116"/>
    <n v="12"/>
    <n v="7248.2316119999996"/>
    <n v="2.7866438064882916E-3"/>
    <n v="9.6385542168674707E-3"/>
    <n v="604.01930099999993"/>
    <n v="16.223485726564213"/>
    <n v="0.43779469469362442"/>
    <n v="44.254280658908577"/>
  </r>
  <r>
    <s v="Online Behavior&gt;United States&gt;Autos and Vehicles ¬ª Brands&gt;Ford"/>
    <x v="2"/>
    <x v="1"/>
    <s v="New York City, New York"/>
    <s v="New York"/>
    <s v="insider.com"/>
    <s v="Google Ad Manager"/>
    <x v="1"/>
    <n v="89744"/>
    <n v="311"/>
    <n v="48786"/>
    <n v="85900"/>
    <n v="3"/>
    <n v="6369.8112259999998"/>
    <n v="3.4654127295418078E-3"/>
    <n v="9.6463022508038593E-3"/>
    <n v="2123.2704086666668"/>
    <n v="70.977572049384918"/>
    <n v="0.56793946449359722"/>
    <n v="130.56637613249703"/>
  </r>
  <r>
    <s v="US ¬ª Response Performance ¬ª Direct Marketing Purchasers"/>
    <x v="0"/>
    <x v="0"/>
    <s v="Champaign &amp; Springfield-Decatur,Illinois"/>
    <s v="Illinois"/>
    <s v="gamingbible.com"/>
    <s v="Google Ad Manager"/>
    <x v="1"/>
    <n v="13183"/>
    <n v="100"/>
    <n v="4337"/>
    <n v="10596"/>
    <n v="1"/>
    <n v="2430.2436640000001"/>
    <n v="7.5855268148372901E-3"/>
    <n v="0.01"/>
    <n v="2430.2436640000001"/>
    <n v="184.34678479860426"/>
    <n v="0.40930539826349566"/>
    <n v="560.35131750057644"/>
  </r>
  <r>
    <s v="Online Behavior&gt;United States&gt;Beauty and Fitness&gt;Face and Body Care ¬ª Unwanted Body and Facial Hair Removal"/>
    <x v="0"/>
    <x v="0"/>
    <s v="New York City, New York"/>
    <s v="New York"/>
    <s v="cnn.com"/>
    <s v="Google Ad Manager"/>
    <x v="1"/>
    <n v="106392"/>
    <n v="299"/>
    <n v="39599"/>
    <n v="94941"/>
    <n v="3"/>
    <n v="6542.6124280000004"/>
    <n v="2.8103616813294234E-3"/>
    <n v="1.0033444816053512E-2"/>
    <n v="2180.8708093333335"/>
    <n v="61.495342018196865"/>
    <n v="0.41709061417090615"/>
    <n v="165.22165781964191"/>
  </r>
  <r>
    <s v="US Interest ¬ª Computers"/>
    <x v="0"/>
    <x v="0"/>
    <s v="West Palm Beach-Ft. Pierce, Florida"/>
    <s v="Florida"/>
    <s v="nypost.com"/>
    <s v="PubMatic"/>
    <x v="2"/>
    <n v="73567"/>
    <n v="197"/>
    <n v="28800"/>
    <n v="68566"/>
    <n v="2"/>
    <n v="1567.3660709999999"/>
    <n v="2.6778310927453885E-3"/>
    <n v="1.015228426395939E-2"/>
    <n v="783.68303549999996"/>
    <n v="21.305287302730846"/>
    <n v="0.42003325263250008"/>
    <n v="54.422433020833331"/>
  </r>
  <r>
    <s v="US Financial ¬ª Likely Bank Account and Services ¬ª Saving Account ¬ª Personal or Join (Financial)"/>
    <x v="0"/>
    <x v="1"/>
    <s v="Shreveport, Louisiana"/>
    <s v="Louisiana"/>
    <s v="msn.com"/>
    <s v="Magnite DV+"/>
    <x v="1"/>
    <n v="177632"/>
    <n v="485"/>
    <n v="70865"/>
    <n v="95871"/>
    <n v="5"/>
    <n v="1483.3844039999999"/>
    <n v="2.7303638983966851E-3"/>
    <n v="1.0309278350515464E-2"/>
    <n v="296.67688079999999"/>
    <n v="8.3508849981985218"/>
    <n v="0.73917034348238775"/>
    <n v="20.93253939180131"/>
  </r>
  <r>
    <s v="Online Behavior&gt;United States&gt;Arts and Entertainment&gt;Events and Listings ¬ª Food and Beverage Events"/>
    <x v="0"/>
    <x v="1"/>
    <s v="Los Angeles, California"/>
    <s v="California"/>
    <s v="mail.aol.com"/>
    <s v="Google Ad Manager"/>
    <x v="1"/>
    <n v="224359"/>
    <n v="480"/>
    <n v="163149"/>
    <n v="200859"/>
    <n v="5"/>
    <n v="4196.9367769999999"/>
    <n v="2.139428326922477E-3"/>
    <n v="1.0416666666666666E-2"/>
    <n v="839.38735539999993"/>
    <n v="18.706344639617754"/>
    <n v="0.81225635893835979"/>
    <n v="25.724563294902204"/>
  </r>
  <r>
    <s v="OnAudience ¬ª Interest ¬ª Life Stage"/>
    <x v="0"/>
    <x v="3"/>
    <s v="Tallahassee, Florida-Thomasville, Georgia"/>
    <s v="Florida-Thomasville, Georgia"/>
    <s v="ebay.com"/>
    <s v="Google Ad Manager"/>
    <x v="1"/>
    <n v="189462"/>
    <n v="478"/>
    <n v="53431"/>
    <n v="163634"/>
    <n v="5"/>
    <n v="1625.17488"/>
    <n v="2.522933358668229E-3"/>
    <n v="1.0460251046025104E-2"/>
    <n v="325.03497600000003"/>
    <n v="8.5778408335180671"/>
    <n v="0.32652749428602856"/>
    <n v="30.416329097340498"/>
  </r>
  <r>
    <s v="US ¬ª Reach ¬ª Propensity Models ¬ª Real Estate ¬ª Mortgage Amount ¬ª $120,000-$159,999"/>
    <x v="0"/>
    <x v="1"/>
    <s v="Ft. Myers-Naples, Florida"/>
    <s v="Florida"/>
    <s v="m.timesofindia.com"/>
    <s v="Sovrn"/>
    <x v="0"/>
    <n v="15904"/>
    <n v="190"/>
    <n v="7523"/>
    <n v="14815"/>
    <n v="2"/>
    <n v="1825.7257079999999"/>
    <n v="1.1946680080482898E-2"/>
    <n v="1.0526315789473684E-2"/>
    <n v="912.86285399999997"/>
    <n v="114.79663656941649"/>
    <n v="0.50779615254809318"/>
    <n v="242.68585776950684"/>
  </r>
  <r>
    <s v="Online Behavior&gt;United States&gt;The Changing Consumer&gt;Trending TV Shows"/>
    <x v="1"/>
    <x v="3"/>
    <s v="Jacksonville, Florida"/>
    <s v="Florida"/>
    <s v="outlook.live.com"/>
    <s v="Index Exchange"/>
    <x v="1"/>
    <n v="113262"/>
    <n v="380"/>
    <n v="95762"/>
    <n v="104612"/>
    <n v="4"/>
    <n v="7443.4832329999999"/>
    <n v="3.3550528862283909E-3"/>
    <n v="1.0526315789473684E-2"/>
    <n v="1860.87080825"/>
    <n v="65.719157643340225"/>
    <n v="0.91540167476006573"/>
    <n v="77.728986790167284"/>
  </r>
  <r>
    <s v="OnAudience ¬ª Intent ¬ª Animals &amp; Pet"/>
    <x v="0"/>
    <x v="0"/>
    <s v="New York City, New York"/>
    <s v="New York"/>
    <s v="a-z-animals.com"/>
    <s v="OpenX"/>
    <x v="1"/>
    <n v="75161"/>
    <n v="280"/>
    <n v="40385"/>
    <n v="70325"/>
    <n v="3"/>
    <n v="1506.461108"/>
    <n v="3.7253362781229627E-3"/>
    <n v="1.0714285714285714E-2"/>
    <n v="502.15370266666667"/>
    <n v="20.043122204334693"/>
    <n v="0.57426235335940279"/>
    <n v="37.302491221988362"/>
  </r>
  <r>
    <s v="Online Behavior&gt;United States&gt;The Changing Consumer&gt;Data For Good ¬ª Current Affairs - Social Justice"/>
    <x v="1"/>
    <x v="2"/>
    <s v="New York City, New York"/>
    <s v="New York"/>
    <s v="mail.yahoo.com"/>
    <s v="Magnite DV+"/>
    <x v="1"/>
    <n v="1010148"/>
    <n v="2874"/>
    <n v="699834"/>
    <n v="955905"/>
    <n v="31"/>
    <n v="7788.7016210000002"/>
    <n v="2.8451276446619703E-3"/>
    <n v="1.0786360473208072E-2"/>
    <n v="251.24843938709677"/>
    <n v="7.7104559143808631"/>
    <n v="0.73211668523545748"/>
    <n v="11.129355848672686"/>
  </r>
  <r>
    <s v="US ¬ª Brand Propensities ¬ª Apparel ¬ª Bare Necessities Buyer Propensity"/>
    <x v="1"/>
    <x v="0"/>
    <s v="San Francisco, California"/>
    <s v="California"/>
    <s v="mail.aol.com"/>
    <s v="BidSwitch"/>
    <x v="1"/>
    <n v="186702"/>
    <n v="370"/>
    <n v="132038"/>
    <n v="167406"/>
    <n v="4"/>
    <n v="1568.7360200000001"/>
    <n v="1.9817677368212444E-3"/>
    <n v="1.0810810810810811E-2"/>
    <n v="392.18400500000001"/>
    <n v="8.4023525189874775"/>
    <n v="0.7887291972808621"/>
    <n v="11.880943516260471"/>
  </r>
  <r>
    <s v="Online Behavior&gt;United States&gt;Validated Demographic ¬ª Gender and Age Combined&gt;Females 35-44"/>
    <x v="0"/>
    <x v="2"/>
    <s v="Jacksonville, Florida"/>
    <s v="Florida"/>
    <s v="espn.com"/>
    <s v="PubMatic"/>
    <x v="1"/>
    <n v="121991"/>
    <n v="369"/>
    <n v="43079"/>
    <n v="99312"/>
    <n v="4"/>
    <n v="3993.2145850000002"/>
    <n v="3.0248133058996154E-3"/>
    <n v="1.0840108401084011E-2"/>
    <n v="998.30364625000004"/>
    <n v="32.733681869974014"/>
    <n v="0.43377436764942806"/>
    <n v="92.695155063952271"/>
  </r>
  <r>
    <s v="Online Behavior&gt;United States&gt;Intent ¬ª Services&gt;Pets"/>
    <x v="0"/>
    <x v="2"/>
    <s v="Memphis, Tennessee"/>
    <s v="Tennessee"/>
    <s v="yahoo.com"/>
    <s v="Magnite DV+"/>
    <x v="1"/>
    <n v="818919"/>
    <n v="1987"/>
    <n v="395852"/>
    <n v="699064"/>
    <n v="22"/>
    <n v="6012.1024649999999"/>
    <n v="2.4263693967291025E-3"/>
    <n v="1.1071967790639155E-2"/>
    <n v="273.27738477272726"/>
    <n v="7.341510534008858"/>
    <n v="0.56626002769417394"/>
    <n v="15.187753162798217"/>
  </r>
  <r>
    <s v="Media and Entertainment ¬ª Events and Attractions"/>
    <x v="0"/>
    <x v="3"/>
    <s v="Flint-Saginaw-Bay City, Michigan"/>
    <s v="Michigan"/>
    <s v="motor-junkie.com"/>
    <s v="PubMatic"/>
    <x v="0"/>
    <n v="70506"/>
    <n v="270"/>
    <n v="26779"/>
    <n v="48902"/>
    <n v="3"/>
    <n v="1912.9668819999999"/>
    <n v="3.8294613224406433E-3"/>
    <n v="1.1111111111111112E-2"/>
    <n v="637.65562733333331"/>
    <n v="27.131972910106942"/>
    <n v="0.54760541491145553"/>
    <n v="71.435336719070918"/>
  </r>
  <r>
    <s v="Media and Entertainment ¬ª Sports and Recreational Activities ¬ª Interest (Affinity) ¬ª Combat Sports"/>
    <x v="1"/>
    <x v="2"/>
    <s v="Los Angeles, California"/>
    <s v="California"/>
    <s v="npr.org"/>
    <s v="Smart RTB+ (Smartadserver)"/>
    <x v="1"/>
    <n v="13592"/>
    <n v="85"/>
    <n v="7747"/>
    <n v="10690"/>
    <n v="1"/>
    <n v="1555.1120780000001"/>
    <n v="6.2536786344908769E-3"/>
    <n v="1.1764705882352941E-2"/>
    <n v="1555.1120780000001"/>
    <n v="114.41377854620366"/>
    <n v="0.7246959775491113"/>
    <n v="200.73732773977025"/>
  </r>
  <r>
    <s v="Transactional ¬ª Q3 Casual Dining Restaurant Goers"/>
    <x v="0"/>
    <x v="1"/>
    <s v="San Francisco, California"/>
    <s v="California"/>
    <s v="outlook.live.com"/>
    <s v="Google Ad Manager"/>
    <x v="1"/>
    <n v="284783"/>
    <n v="756"/>
    <n v="239363"/>
    <n v="261467"/>
    <n v="9"/>
    <n v="1605.5380720000001"/>
    <n v="2.6546528409350277E-3"/>
    <n v="1.1904761904761904E-2"/>
    <n v="178.3931191111111"/>
    <n v="5.6377595291853799"/>
    <n v="0.91546160700968005"/>
    <n v="6.7075449087787176"/>
  </r>
  <r>
    <s v="Lotame ¬ª Travel ¬ª International Travel"/>
    <x v="0"/>
    <x v="3"/>
    <s v="San Francisco, California"/>
    <s v="California"/>
    <s v="eonline.com"/>
    <s v="Google Ad Manager"/>
    <x v="1"/>
    <n v="13464"/>
    <n v="84"/>
    <n v="1698"/>
    <n v="11234"/>
    <n v="1"/>
    <n v="1466.285104"/>
    <n v="6.2388591800356507E-3"/>
    <n v="1.1904761904761904E-2"/>
    <n v="1466.285104"/>
    <n v="108.90412240047534"/>
    <n v="0.15114829980416591"/>
    <n v="863.53657479387516"/>
  </r>
  <r>
    <s v="US ¬ª Brand Propensities ¬ª Travel ¬ª Hotel Tonight Buyer Propensity"/>
    <x v="0"/>
    <x v="3"/>
    <s v="Jacksonville, Florida"/>
    <s v="Florida"/>
    <s v="biblegateway.com"/>
    <s v="Magnite DV+"/>
    <x v="1"/>
    <n v="188170"/>
    <n v="490"/>
    <n v="155266"/>
    <n v="176562"/>
    <n v="6"/>
    <n v="1599.7150690000001"/>
    <n v="2.6040282723069565E-3"/>
    <n v="1.2244897959183673E-2"/>
    <n v="266.6191781666667"/>
    <n v="8.5014352394111725"/>
    <n v="0.87938514516147304"/>
    <n v="10.303060998544435"/>
  </r>
  <r>
    <s v="Online Behavior&gt;United States&gt;Validated Demographic ¬ª Gender and Age Combined&gt;Males 25-54"/>
    <x v="0"/>
    <x v="0"/>
    <s v="Chicago, Illinois"/>
    <s v="Illinois"/>
    <s v="marca.com"/>
    <s v="Sharethrough"/>
    <x v="1"/>
    <n v="9725"/>
    <n v="80"/>
    <n v="6616"/>
    <n v="8778"/>
    <n v="1"/>
    <n v="4942.2839869999998"/>
    <n v="8.2262210796915161E-3"/>
    <n v="1.2500000000000001E-2"/>
    <n v="4942.2839869999998"/>
    <n v="508.20400894601545"/>
    <n v="0.75370243791296421"/>
    <n v="747.0199496674727"/>
  </r>
  <r>
    <s v="Online Behavior&gt;United States&gt;Life Event&gt;College Graduation"/>
    <x v="1"/>
    <x v="3"/>
    <s v="Los Angeles, California"/>
    <s v="California"/>
    <s v="msn.com"/>
    <s v="Google Ad Manager"/>
    <x v="1"/>
    <n v="1515751"/>
    <n v="3874"/>
    <n v="1151776"/>
    <n v="1396230"/>
    <n v="49"/>
    <n v="7850.6442440000001"/>
    <n v="2.555828760792505E-3"/>
    <n v="1.2648425400103252E-2"/>
    <n v="160.21722946938775"/>
    <n v="5.1793759291598684"/>
    <n v="0.82491853061458353"/>
    <n v="6.8161207074986798"/>
  </r>
  <r>
    <s v="Travel and Tourism ¬ª Interest (Affinity) ¬ª Products ¬ª Air Travel"/>
    <x v="0"/>
    <x v="3"/>
    <s v="Lafayette, Indiana"/>
    <s v="Indiana"/>
    <s v="yahoo.com"/>
    <s v="BidSwitch"/>
    <x v="0"/>
    <n v="307888"/>
    <n v="863"/>
    <n v="134959"/>
    <n v="274790"/>
    <n v="11"/>
    <n v="1559.643865"/>
    <n v="2.8029673127890663E-3"/>
    <n v="1.2746234067207415E-2"/>
    <n v="141.7858059090909"/>
    <n v="5.0656208264044071"/>
    <n v="0.49113504858255397"/>
    <n v="11.556427248275401"/>
  </r>
  <r>
    <s v="OnAudience ¬ª Interest ¬ª Technology &amp; Computing ¬ª Entertainment"/>
    <x v="0"/>
    <x v="1"/>
    <s v="Orlando-Daytona Beach, Florida"/>
    <s v="Florida"/>
    <s v="yahoo.com"/>
    <s v="BidSwitch"/>
    <x v="1"/>
    <n v="85965"/>
    <n v="233"/>
    <n v="33865"/>
    <n v="78662"/>
    <n v="3"/>
    <n v="1555.5348120000001"/>
    <n v="2.7104053975455125E-3"/>
    <n v="1.2875536480686695E-2"/>
    <n v="518.51160400000003"/>
    <n v="18.094978328389463"/>
    <n v="0.43051282703211208"/>
    <n v="45.933406525911714"/>
  </r>
  <r>
    <s v="Online Behavior&gt;United States&gt;Validated Demographic ¬ª Gender and Age Combined&gt;Females 25-44"/>
    <x v="1"/>
    <x v="2"/>
    <s v="Miami-Ft. Lauderdale, Florida"/>
    <s v="Florida"/>
    <s v="outlook.live.com"/>
    <s v="BidSwitch"/>
    <x v="1"/>
    <n v="264580"/>
    <n v="691"/>
    <n v="217526"/>
    <n v="240731"/>
    <n v="9"/>
    <n v="4874.6517219999996"/>
    <n v="2.6116864464434198E-3"/>
    <n v="1.3024602026049204E-2"/>
    <n v="541.62796911111104"/>
    <n v="18.424112638899388"/>
    <n v="0.90360609975449779"/>
    <n v="22.409512986953285"/>
  </r>
  <r>
    <s v="OnAudience ¬ª Interest ¬ª Business ¬ª Economy"/>
    <x v="0"/>
    <x v="0"/>
    <s v="South Bend-Elkhart, Indiana"/>
    <s v="Indiana"/>
    <s v="cnn.com"/>
    <s v="Google Ad Manager"/>
    <x v="1"/>
    <n v="77748"/>
    <n v="227"/>
    <n v="6170"/>
    <n v="53603"/>
    <n v="3"/>
    <n v="1498.3009"/>
    <n v="2.919689252456655E-3"/>
    <n v="1.3215859030837005E-2"/>
    <n v="499.43363333333332"/>
    <n v="19.271246848793535"/>
    <n v="0.11510549782661418"/>
    <n v="242.83645056726093"/>
  </r>
  <r>
    <s v="Online Behavior&gt;United States&gt;Finance ¬ª Investing&gt;Investing"/>
    <x v="1"/>
    <x v="0"/>
    <s v="Miami-Ft. Lauderdale, Florida"/>
    <s v="Florida"/>
    <s v="msn.com"/>
    <s v="Google Ad Manager"/>
    <x v="1"/>
    <n v="1222302"/>
    <n v="3142"/>
    <n v="553773"/>
    <n v="1120128"/>
    <n v="42"/>
    <n v="7880.7704059999996"/>
    <n v="2.5705594852990505E-3"/>
    <n v="1.336728198599618E-2"/>
    <n v="187.63739061904761"/>
    <n v="6.4474822147063495"/>
    <n v="0.49438367757970519"/>
    <n v="14.231048472930244"/>
  </r>
  <r>
    <s v="US ¬ª Response Performance ¬ª Direct Marketing Responders"/>
    <x v="0"/>
    <x v="3"/>
    <s v="Chicago, Illinois"/>
    <s v="Illinois"/>
    <s v="baseball-reference.com"/>
    <s v="Xandr - Monetize SSP (AppNexus)"/>
    <x v="1"/>
    <n v="117713"/>
    <n v="374"/>
    <n v="16357"/>
    <n v="100222"/>
    <n v="5"/>
    <n v="2505.4035429999999"/>
    <n v="3.1772191686559683E-3"/>
    <n v="1.3368983957219251E-2"/>
    <n v="501.08070859999998"/>
    <n v="21.284000433257159"/>
    <n v="0.16320767895272495"/>
    <n v="153.17011328483218"/>
  </r>
  <r>
    <s v="US ¬ª Interest Propensities ¬ª TV and Movies ¬ª Network TV"/>
    <x v="1"/>
    <x v="0"/>
    <s v="Miami-Ft. Lauderdale, Florida"/>
    <s v="Florida"/>
    <s v="realtor.com"/>
    <s v="Google Ad Manager"/>
    <x v="1"/>
    <n v="104814"/>
    <n v="369"/>
    <n v="55984"/>
    <n v="99432"/>
    <n v="5"/>
    <n v="1942.8475129999999"/>
    <n v="3.5205220676627169E-3"/>
    <n v="1.3550135501355014E-2"/>
    <n v="388.56950259999996"/>
    <n v="18.536145104661593"/>
    <n v="0.56303805615898306"/>
    <n v="34.703620909545585"/>
  </r>
  <r>
    <s v="Online Behavior&gt;United States&gt;The Changing Consumer&gt;CPG"/>
    <x v="0"/>
    <x v="0"/>
    <s v="Nashville, Tennessee"/>
    <s v="Tennessee"/>
    <s v="realtor.com"/>
    <s v="Google Ad Manager"/>
    <x v="1"/>
    <n v="224877"/>
    <n v="805"/>
    <n v="121175"/>
    <n v="213280"/>
    <n v="11"/>
    <n v="7360.9929689999999"/>
    <n v="3.5797346994134571E-3"/>
    <n v="1.3664596273291925E-2"/>
    <n v="669.18117900000004"/>
    <n v="32.733418575487931"/>
    <n v="0.56814984996249063"/>
    <n v="60.746795700433253"/>
  </r>
  <r>
    <s v="Mobile - US ¬ª Demographics ¬ª Finance ¬ª Rent Value ¬ª Lowest Rent Value"/>
    <x v="1"/>
    <x v="3"/>
    <s v="Charleston, South Carolina"/>
    <s v="South Carolina"/>
    <s v="outlook.live.com"/>
    <s v="Google Ad Manager"/>
    <x v="1"/>
    <n v="55274"/>
    <n v="219"/>
    <n v="47583"/>
    <n v="51275"/>
    <n v="3"/>
    <n v="1532.7579049999999"/>
    <n v="3.9620798205304486E-3"/>
    <n v="1.3698630136986301E-2"/>
    <n v="510.91930166666663"/>
    <n v="27.730178836342581"/>
    <n v="0.92799609946367623"/>
    <n v="32.212300716642496"/>
  </r>
  <r>
    <s v="US ¬ª Reach ¬ª Propensity Models ¬ª Household Consumer Expenditures ¬ª Lawn and Garden"/>
    <x v="0"/>
    <x v="1"/>
    <s v="New York City, New York"/>
    <s v="New York"/>
    <s v="cbsnews.com"/>
    <s v="Google Ad Manager"/>
    <x v="0"/>
    <n v="65983"/>
    <n v="212"/>
    <n v="8536"/>
    <n v="57434"/>
    <n v="3"/>
    <n v="1599.076249"/>
    <n v="3.212948789839807E-3"/>
    <n v="1.4150943396226415E-2"/>
    <n v="533.02541633333328"/>
    <n v="24.234670278708151"/>
    <n v="0.14862276700212418"/>
    <n v="187.33320630271791"/>
  </r>
  <r>
    <s v="US ¬ª Brand Propensities ¬ª Health ¬ª Beauty and Cosmetics ¬ª SkinCareRx Buyer Propensity"/>
    <x v="0"/>
    <x v="3"/>
    <s v="Nashville, Tennessee"/>
    <s v="Tennessee"/>
    <s v="ebay.com"/>
    <s v="Yahoo Exchange"/>
    <x v="1"/>
    <n v="435848"/>
    <n v="1058"/>
    <n v="274912"/>
    <n v="415601"/>
    <n v="15"/>
    <n v="1554.439959"/>
    <n v="2.4274517721774563E-3"/>
    <n v="1.4177693761814745E-2"/>
    <n v="103.6293306"/>
    <n v="3.5664726211890385"/>
    <n v="0.66148060278969489"/>
    <n v="5.6543183236817605"/>
  </r>
  <r>
    <s v="Transactional ¬ª Q2 Graduation Gift Shoppers"/>
    <x v="0"/>
    <x v="1"/>
    <s v="Los Angeles, California"/>
    <s v="California"/>
    <s v="ebay.com"/>
    <s v="Index Exchange"/>
    <x v="1"/>
    <n v="144088"/>
    <n v="490"/>
    <n v="26416"/>
    <n v="137369"/>
    <n v="7"/>
    <n v="1464.0642350000001"/>
    <n v="3.4006995724834821E-3"/>
    <n v="1.4285714285714285E-2"/>
    <n v="209.15203357142857"/>
    <n v="10.160903302148688"/>
    <n v="0.19229957268379327"/>
    <n v="55.423388665960026"/>
  </r>
  <r>
    <s v="Online Behavior&gt;United States&gt;Life Event&gt;Movers"/>
    <x v="0"/>
    <x v="0"/>
    <s v="Grand Rapids-Kalamazoo, Michigan"/>
    <s v="Michigan"/>
    <s v="yahoo.com"/>
    <s v="Google Ad Manager"/>
    <x v="1"/>
    <n v="310255"/>
    <n v="970"/>
    <n v="105054"/>
    <n v="260998"/>
    <n v="14"/>
    <n v="6057.8567220000004"/>
    <n v="3.1264604921757908E-3"/>
    <n v="1.443298969072165E-2"/>
    <n v="432.70405157142858"/>
    <n v="19.525412070716026"/>
    <n v="0.40250883148529876"/>
    <n v="57.66421765948941"/>
  </r>
  <r>
    <s v="US ¬ª Premium Entertainment and Pastimes ¬ª Premium Magazine Enthusiasts"/>
    <x v="0"/>
    <x v="0"/>
    <s v="Chicago, Illinois"/>
    <s v="Illinois"/>
    <s v="finance.yahoo.com"/>
    <s v="PubMatic"/>
    <x v="1"/>
    <n v="109567"/>
    <n v="345"/>
    <n v="57620"/>
    <n v="97903"/>
    <n v="5"/>
    <n v="1616.7147219999999"/>
    <n v="3.1487582940118832E-3"/>
    <n v="1.4492753623188406E-2"/>
    <n v="323.34294439999996"/>
    <n v="14.755489536082946"/>
    <n v="0.58854171986558124"/>
    <n v="28.058221485595276"/>
  </r>
  <r>
    <s v="US ¬ª Financially in Charge ¬ª Performance Score: Top 50%"/>
    <x v="1"/>
    <x v="3"/>
    <s v="New York City, New York"/>
    <s v="New York"/>
    <s v="weather.com"/>
    <s v="Google Ad Manager"/>
    <x v="1"/>
    <n v="12512"/>
    <n v="69"/>
    <n v="6240"/>
    <n v="9672"/>
    <n v="1"/>
    <n v="2298.8889650000001"/>
    <n v="5.5147058823529415E-3"/>
    <n v="1.4492753623188406E-2"/>
    <n v="2298.8889650000001"/>
    <n v="183.73473185741688"/>
    <n v="0.64516129032258063"/>
    <n v="368.41169310897442"/>
  </r>
  <r>
    <s v="OnAudience ¬ª Interest ¬ª Arts &amp; Entertainment ¬ª Celebrity Fan ¬ª Gossip"/>
    <x v="0"/>
    <x v="0"/>
    <s v="Los Angeles, California"/>
    <s v="California"/>
    <s v="ebay.com"/>
    <s v="BidSwitch"/>
    <x v="1"/>
    <n v="77703"/>
    <n v="204"/>
    <n v="33478"/>
    <n v="72874"/>
    <n v="3"/>
    <n v="1566.9124059999999"/>
    <n v="2.6253812594108335E-3"/>
    <n v="1.4705882352941176E-2"/>
    <n v="522.30413533333331"/>
    <n v="20.165404244366368"/>
    <n v="0.45939566923731373"/>
    <n v="46.804241770715095"/>
  </r>
  <r>
    <s v="OnAudience ¬ª Interest ¬ª News &amp; Magazines"/>
    <x v="1"/>
    <x v="2"/>
    <s v="Chicago, Illinois"/>
    <s v="Illinois"/>
    <s v="msn.com"/>
    <s v="Google Ad Manager"/>
    <x v="1"/>
    <n v="80456"/>
    <n v="204"/>
    <n v="46039"/>
    <n v="65383"/>
    <n v="3"/>
    <n v="2039.848792"/>
    <n v="2.5355473799343739E-3"/>
    <n v="1.4705882352941176E-2"/>
    <n v="679.94959733333337"/>
    <n v="25.353594411852441"/>
    <n v="0.70414327883394767"/>
    <n v="44.306974347835528"/>
  </r>
  <r>
    <s v="Lotame ¬ª Personal Finance ¬ª Stocks"/>
    <x v="0"/>
    <x v="2"/>
    <s v="New York City, New York"/>
    <s v="New York"/>
    <s v="repairlinkshop.com"/>
    <s v="Yahoo Exchange"/>
    <x v="1"/>
    <n v="13382"/>
    <n v="68"/>
    <n v="3340"/>
    <n v="11662"/>
    <n v="1"/>
    <n v="1447.927193"/>
    <n v="5.0814526976535645E-3"/>
    <n v="1.4705882352941176E-2"/>
    <n v="1447.927193"/>
    <n v="108.1996108952324"/>
    <n v="0.2864002743954725"/>
    <n v="433.51113562874252"/>
  </r>
  <r>
    <s v="Online Behavior&gt;United States&gt;Beauty and Fitness&gt;Spas and Beauty Services"/>
    <x v="1"/>
    <x v="1"/>
    <s v="Chicago, Illinois"/>
    <s v="Illinois"/>
    <s v="yahoo.com"/>
    <s v="PubMatic"/>
    <x v="1"/>
    <n v="888037"/>
    <n v="2841"/>
    <n v="370429"/>
    <n v="820340"/>
    <n v="42"/>
    <n v="8134.3505240000004"/>
    <n v="3.1991910246982952E-3"/>
    <n v="1.4783526927138331E-2"/>
    <n v="193.67501247619049"/>
    <n v="9.1599229806866163"/>
    <n v="0.45155545261720748"/>
    <n v="21.959270262317474"/>
  </r>
  <r>
    <s v="US ¬ª Interest Propensities ¬ª Brands ¬ª Quick Service Restaurants"/>
    <x v="1"/>
    <x v="2"/>
    <s v="Ft. Myers-Naples, Florida"/>
    <s v="Florida"/>
    <s v="accuweather.com"/>
    <s v="BidSwitch"/>
    <x v="1"/>
    <n v="213699"/>
    <n v="270"/>
    <n v="18395"/>
    <n v="164487"/>
    <n v="4"/>
    <n v="2194.9871250000001"/>
    <n v="1.2634593517049683E-3"/>
    <n v="1.4814814814814815E-2"/>
    <n v="548.74678125000003"/>
    <n v="10.271396333160192"/>
    <n v="0.11183254603707284"/>
    <n v="119.32520385974449"/>
  </r>
  <r>
    <s v="Online Behavior&gt;United States&gt;The Changing Consumer&gt;Delivery Services and Quick Service Restaurants"/>
    <x v="0"/>
    <x v="0"/>
    <s v="Los Angeles, California"/>
    <s v="California"/>
    <s v="mail.aol.com"/>
    <s v="PubMatic"/>
    <x v="1"/>
    <n v="103665"/>
    <n v="270"/>
    <n v="77283"/>
    <n v="94019"/>
    <n v="4"/>
    <n v="5284.6855649999998"/>
    <n v="2.6045434814064533E-3"/>
    <n v="1.4814814814814815E-2"/>
    <n v="1321.1713912499999"/>
    <n v="50.978493850383444"/>
    <n v="0.82199342686052823"/>
    <n v="68.380957843251423"/>
  </r>
  <r>
    <s v="Transactional ¬ª Q3 Fashion Shoppers"/>
    <x v="2"/>
    <x v="1"/>
    <s v="Flint-Saginaw-Bay City, Michigan"/>
    <s v="Michigan"/>
    <s v="zillow.com"/>
    <s v="Taboola"/>
    <x v="1"/>
    <n v="130602"/>
    <n v="269"/>
    <n v="11736"/>
    <n v="113735"/>
    <n v="4"/>
    <n v="1507.8471199999999"/>
    <n v="2.0596928071545612E-3"/>
    <n v="1.4869888475836431E-2"/>
    <n v="376.96177999999998"/>
    <n v="11.545360101682975"/>
    <n v="0.10318723348133819"/>
    <n v="128.48049761417857"/>
  </r>
  <r>
    <s v="US ¬ª Reach ¬ª Propensity Models ¬ª Hobbies and Interest ¬ª Sports ¬ª PGA Tour Enthusiast"/>
    <x v="1"/>
    <x v="2"/>
    <s v="New York City, New York"/>
    <s v="New York"/>
    <s v="mail.yahoo.com"/>
    <s v="PubMatic"/>
    <x v="1"/>
    <n v="65257"/>
    <n v="201"/>
    <n v="12749"/>
    <n v="19274"/>
    <n v="3"/>
    <n v="2468.1358369999998"/>
    <n v="3.0801293347840078E-3"/>
    <n v="1.4925373134328358E-2"/>
    <n v="822.71194566666657"/>
    <n v="37.821779073509347"/>
    <n v="0.66146103559198921"/>
    <n v="193.59446521295786"/>
  </r>
  <r>
    <s v="Mobile - US ¬ª Food ¬ª Restaurant ¬ª Brand ¬ª Krispy Kreme"/>
    <x v="2"/>
    <x v="3"/>
    <s v="Grand Rapids-Kalamazoo, Michigan"/>
    <s v="Michigan"/>
    <s v="usnews.com"/>
    <s v="PubMatic"/>
    <x v="1"/>
    <n v="13608"/>
    <n v="66"/>
    <n v="2714"/>
    <n v="9332"/>
    <n v="1"/>
    <n v="1762.663235"/>
    <n v="4.8500881834215165E-3"/>
    <n v="1.5151515151515152E-2"/>
    <n v="1762.663235"/>
    <n v="129.53139587007641"/>
    <n v="0.29082726103729106"/>
    <n v="649.47060980103163"/>
  </r>
  <r>
    <s v="US Financial ¬ª Estimated Discretionary Spending ¬ª Greater than $2,500"/>
    <x v="1"/>
    <x v="2"/>
    <s v="Chicago, Illinois"/>
    <s v="Illinois"/>
    <s v="ebay.com"/>
    <s v="Google Ad Manager"/>
    <x v="1"/>
    <n v="126337"/>
    <n v="325"/>
    <n v="51394"/>
    <n v="117635"/>
    <n v="5"/>
    <n v="1487.0882879999999"/>
    <n v="2.5724847036101856E-3"/>
    <n v="1.5384615384615385E-2"/>
    <n v="297.41765759999998"/>
    <n v="11.77080576553187"/>
    <n v="0.43689378161261527"/>
    <n v="28.935056387905203"/>
  </r>
  <r>
    <s v="OnAudience ¬ª Interest ¬ª Careers"/>
    <x v="1"/>
    <x v="0"/>
    <s v="Flint-Saginaw-Bay City, Michigan"/>
    <s v="Michigan"/>
    <s v="biblegateway.com"/>
    <s v="Google Ad Manager"/>
    <x v="1"/>
    <n v="77313"/>
    <n v="191"/>
    <n v="40366"/>
    <n v="71128"/>
    <n v="3"/>
    <n v="1790.3901980000001"/>
    <n v="2.4704771513199592E-3"/>
    <n v="1.5706806282722512E-2"/>
    <n v="596.79673266666668"/>
    <n v="23.157686262336217"/>
    <n v="0.56751209087841636"/>
    <n v="44.353916612991135"/>
  </r>
  <r>
    <s v="Lotame ¬ª Technology ¬ª Mobile Phones"/>
    <x v="0"/>
    <x v="1"/>
    <s v="Champaign &amp; Springfield-Decatur,Illinois"/>
    <s v="Illinois"/>
    <s v="insider.com"/>
    <s v="PubMatic"/>
    <x v="1"/>
    <n v="39705"/>
    <n v="190"/>
    <n v="12950"/>
    <n v="38030"/>
    <n v="3"/>
    <n v="1476.4195090000001"/>
    <n v="4.7852915249968521E-3"/>
    <n v="1.5789473684210527E-2"/>
    <n v="492.13983633333334"/>
    <n v="37.184725072409023"/>
    <n v="0.34052064159873785"/>
    <n v="114.0092284942085"/>
  </r>
  <r>
    <s v="Mobile - US ¬ª Travel ¬ª Destination ¬ª International Travelers ¬ª yes"/>
    <x v="1"/>
    <x v="1"/>
    <s v="San Francisco, California"/>
    <s v="California"/>
    <s v="mail.aol.com"/>
    <s v="BidSwitch"/>
    <x v="1"/>
    <n v="69136"/>
    <n v="190"/>
    <n v="40571"/>
    <n v="63614"/>
    <n v="3"/>
    <n v="1507.9468509999999"/>
    <n v="2.7482064336959038E-3"/>
    <n v="1.5789473684210527E-2"/>
    <n v="502.64895033333329"/>
    <n v="21.811311776787782"/>
    <n v="0.63776841575753762"/>
    <n v="37.168096694683392"/>
  </r>
  <r>
    <s v="Online Behavior&gt;United States&gt;Intent ¬ª Auto Buyers ¬ª Car Make&gt;Opel"/>
    <x v="0"/>
    <x v="0"/>
    <s v="New York City, New York"/>
    <s v="New York"/>
    <s v="finance.yahoo.com"/>
    <s v="Google Ad Manager"/>
    <x v="1"/>
    <n v="286998"/>
    <n v="815"/>
    <n v="61586"/>
    <n v="247500"/>
    <n v="13"/>
    <n v="6395.5506240000004"/>
    <n v="2.8397410434915921E-3"/>
    <n v="1.5950920245398775E-2"/>
    <n v="491.96543261538466"/>
    <n v="22.284303806995172"/>
    <n v="0.24883232323232324"/>
    <n v="103.84747546520315"/>
  </r>
  <r>
    <s v="US ¬ª Interest Propensities ¬ª Activities and Interests ¬ª College Life"/>
    <x v="1"/>
    <x v="0"/>
    <s v="Jackson, Mississippi"/>
    <s v="Mississippi"/>
    <s v="msn.com"/>
    <s v="Xandr - Monetize SSP (AppNexus)"/>
    <x v="1"/>
    <n v="171575"/>
    <n v="499"/>
    <n v="101487"/>
    <n v="136036"/>
    <n v="8"/>
    <n v="1658.3324259999999"/>
    <n v="2.9083491184613143E-3"/>
    <n v="1.6032064128256512E-2"/>
    <n v="207.29155324999999"/>
    <n v="9.6653499985429114"/>
    <n v="0.74603046252462579"/>
    <n v="16.340343354321242"/>
  </r>
  <r>
    <s v="Online Behavior&gt;United States&gt;Finance ¬ª Accounting and Auditing&gt;Accounting and Auditing"/>
    <x v="0"/>
    <x v="0"/>
    <s v="Chicago, Illinois"/>
    <s v="Illinois"/>
    <s v="yahoo.com"/>
    <s v="Yahoo Exchange"/>
    <x v="1"/>
    <n v="1767940"/>
    <n v="4852"/>
    <n v="881525"/>
    <n v="1550866"/>
    <n v="78"/>
    <n v="7511.656191"/>
    <n v="2.7444370284059414E-3"/>
    <n v="1.6075845012366034E-2"/>
    <n v="96.303284500000004"/>
    <n v="4.2488185068497799"/>
    <n v="0.5684082312720764"/>
    <n v="8.5212060815064792"/>
  </r>
  <r>
    <s v="Online Behavior&gt;United States&gt;Food and Drink&gt;Restaurants"/>
    <x v="0"/>
    <x v="1"/>
    <s v="Los Angeles, California"/>
    <s v="California"/>
    <s v="mail.yahoo.com"/>
    <s v="Taboola"/>
    <x v="1"/>
    <n v="908899"/>
    <n v="1984"/>
    <n v="644697"/>
    <n v="853964"/>
    <n v="32"/>
    <n v="5181.087383"/>
    <n v="2.1828608019152842E-3"/>
    <n v="1.6129032258064516E-2"/>
    <n v="161.90898071875"/>
    <n v="5.7003994756293057"/>
    <n v="0.7549463443423845"/>
    <n v="8.036468888485599"/>
  </r>
  <r>
    <s v="OnAudience ¬ª Interest ¬ª Technology"/>
    <x v="2"/>
    <x v="2"/>
    <s v="Chicago, Illinois"/>
    <s v="Illinois"/>
    <s v="cnn.com"/>
    <s v="Google Ad Manager"/>
    <x v="1"/>
    <n v="84306"/>
    <n v="185"/>
    <n v="45376"/>
    <n v="79935"/>
    <n v="3"/>
    <n v="1809.5909610000001"/>
    <n v="2.1943871136099447E-3"/>
    <n v="1.6216216216216217E-2"/>
    <n v="603.19698700000004"/>
    <n v="21.464557220126682"/>
    <n v="0.56766122474510539"/>
    <n v="39.879913632757408"/>
  </r>
  <r>
    <s v="US Demographic ¬ª Age ¬ª Specialty Age Range ¬ª 21+"/>
    <x v="0"/>
    <x v="0"/>
    <s v="Chicago, Illinois"/>
    <s v="Illinois"/>
    <s v="weather.com"/>
    <s v="PubMatic"/>
    <x v="1"/>
    <n v="180353"/>
    <n v="471"/>
    <n v="67637"/>
    <n v="145416"/>
    <n v="8"/>
    <n v="1720.881985"/>
    <n v="2.6115451364823431E-3"/>
    <n v="1.6985138004246284E-2"/>
    <n v="215.110248125"/>
    <n v="9.541743053899852"/>
    <n v="0.46512763382296307"/>
    <n v="25.442908245486937"/>
  </r>
  <r>
    <s v="Online Behavior&gt;United States&gt;Beauty and Fitness&gt;Fitness"/>
    <x v="0"/>
    <x v="3"/>
    <s v="Chicago, Illinois"/>
    <s v="Illinois"/>
    <s v="mail.yahoo.com"/>
    <s v="BidSwitch"/>
    <x v="1"/>
    <n v="728841"/>
    <n v="2174"/>
    <n v="424340"/>
    <n v="634059"/>
    <n v="37"/>
    <n v="8054.1413679999996"/>
    <n v="2.9828179259948329E-3"/>
    <n v="1.7019319227230909E-2"/>
    <n v="217.67949643243242"/>
    <n v="11.050615110840361"/>
    <n v="0.66924371391305859"/>
    <n v="18.980396304849883"/>
  </r>
  <r>
    <s v="Online Behavior&gt;United States&gt;Validated Demographic ¬ª Age&gt;25-44"/>
    <x v="2"/>
    <x v="1"/>
    <s v="Grand Rapids-Kalamazoo, Michigan"/>
    <s v="Michigan"/>
    <s v="cheapoair.com"/>
    <s v="PubMatic"/>
    <x v="1"/>
    <n v="114723"/>
    <n v="350"/>
    <n v="14623"/>
    <n v="92063"/>
    <n v="6"/>
    <n v="4742.0086369999999"/>
    <n v="3.0508267740557691E-3"/>
    <n v="1.7142857142857144E-2"/>
    <n v="790.33477283333332"/>
    <n v="41.334419750180871"/>
    <n v="0.15883688343851493"/>
    <n v="324.28425336798193"/>
  </r>
  <r>
    <s v="Mobile - US ¬ª Shopping ¬ª Brand ¬ª Old Navy"/>
    <x v="0"/>
    <x v="2"/>
    <s v="Los Angeles, California"/>
    <s v="California"/>
    <s v="autotrader.com"/>
    <s v="PubMatic"/>
    <x v="1"/>
    <n v="67752"/>
    <n v="174"/>
    <n v="47126"/>
    <n v="65080"/>
    <n v="3"/>
    <n v="1557.0157300000001"/>
    <n v="2.5681898689337585E-3"/>
    <n v="1.7241379310344827E-2"/>
    <n v="519.0052433333334"/>
    <n v="22.981103583658051"/>
    <n v="0.72412415488629378"/>
    <n v="33.039420489750881"/>
  </r>
  <r>
    <s v="Online Behavior&gt;United States&gt;Food and Drink&gt;Food and Grocery Delivery"/>
    <x v="0"/>
    <x v="2"/>
    <s v="Chicago, Illinois"/>
    <s v="Illinois"/>
    <s v="ebay.com"/>
    <s v="Google Ad Manager"/>
    <x v="1"/>
    <n v="262807"/>
    <n v="684"/>
    <n v="109871"/>
    <n v="236426"/>
    <n v="12"/>
    <n v="5150.4689230000004"/>
    <n v="2.6026704007123098E-3"/>
    <n v="1.7543859649122806E-2"/>
    <n v="429.20574358333334"/>
    <n v="19.597913765615072"/>
    <n v="0.46471623256325445"/>
    <n v="46.877419182495842"/>
  </r>
  <r>
    <s v="US ¬ª B2B ¬ª B2B Decision Maker Responsibilities ¬ª Office Services or Moving"/>
    <x v="0"/>
    <x v="1"/>
    <s v="Nashville, Tennessee"/>
    <s v="Tennessee"/>
    <s v="realtor.com"/>
    <s v="BidSwitch"/>
    <x v="2"/>
    <n v="49412"/>
    <n v="170"/>
    <n v="22155"/>
    <n v="43802"/>
    <n v="3"/>
    <n v="1595.6594660000001"/>
    <n v="3.440459807334251E-3"/>
    <n v="1.7647058823529412E-2"/>
    <n v="531.88648866666665"/>
    <n v="32.29295446450255"/>
    <n v="0.50579882197159942"/>
    <n v="72.022544166102463"/>
  </r>
  <r>
    <s v="OnAudience ¬ª Interest ¬ª Social life"/>
    <x v="0"/>
    <x v="3"/>
    <s v="New York City, New York"/>
    <s v="New York"/>
    <s v="screenrant.com"/>
    <s v="BidSwitch"/>
    <x v="1"/>
    <n v="83537"/>
    <n v="222"/>
    <n v="67987"/>
    <n v="79409"/>
    <n v="4"/>
    <n v="1761.0793229999999"/>
    <n v="2.6575050576391301E-3"/>
    <n v="1.8018018018018018E-2"/>
    <n v="440.26983074999998"/>
    <n v="21.081428863856733"/>
    <n v="0.85616239972799058"/>
    <n v="25.903177416270754"/>
  </r>
  <r>
    <s v="Online Behavior&gt;United States&gt;Arts and Entertainment&gt;Events and Listings ¬ª Film Festivals"/>
    <x v="1"/>
    <x v="2"/>
    <s v="Los Angeles, California"/>
    <s v="California"/>
    <s v="ebay.com"/>
    <s v="Google Ad Manager"/>
    <x v="1"/>
    <n v="405957"/>
    <n v="874"/>
    <n v="204189"/>
    <n v="385654"/>
    <n v="16"/>
    <n v="5864.1264929999998"/>
    <n v="2.1529373800673471E-3"/>
    <n v="1.8306636155606407E-2"/>
    <n v="366.50790581249998"/>
    <n v="14.445191222223043"/>
    <n v="0.52946164178253041"/>
    <n v="28.719110691565167"/>
  </r>
  <r>
    <s v="Online Behavior&gt;United States&gt;Intent ¬ª Services&gt;Photography"/>
    <x v="2"/>
    <x v="3"/>
    <s v="Chicago, Illinois"/>
    <s v="Illinois"/>
    <s v="mail.aol.com"/>
    <s v="Google Ad Manager"/>
    <x v="1"/>
    <n v="100058"/>
    <n v="435"/>
    <n v="73422"/>
    <n v="91976"/>
    <n v="8"/>
    <n v="5831.2257929999996"/>
    <n v="4.3474784624917551E-3"/>
    <n v="1.8390804597701149E-2"/>
    <n v="728.90322412499995"/>
    <n v="58.278456425273333"/>
    <n v="0.79827346264242849"/>
    <n v="79.420688526599648"/>
  </r>
  <r>
    <s v="US ¬ª Reach ¬ª Propensity Models ¬ª Online ¬ª Home Office"/>
    <x v="1"/>
    <x v="0"/>
    <s v="Nashville, Tennessee"/>
    <s v="Tennessee"/>
    <s v="outlook.live.com"/>
    <s v="Magnite DV+"/>
    <x v="1"/>
    <n v="481526"/>
    <n v="1235"/>
    <n v="396802"/>
    <n v="437639"/>
    <n v="23"/>
    <n v="2037.8655940000001"/>
    <n v="2.5647628580803528E-3"/>
    <n v="1.862348178137652E-2"/>
    <n v="88.60285191304348"/>
    <n v="4.2320987734826367"/>
    <n v="0.90668793229122635"/>
    <n v="5.1357240991728874"/>
  </r>
  <r>
    <s v="US ¬ª Reach ¬ª Propensity Models ¬ª Hobbies and Interest ¬ª Pets ¬ª Cat Owners"/>
    <x v="0"/>
    <x v="1"/>
    <s v="Los Angeles, California"/>
    <s v="California"/>
    <s v="ebay.com"/>
    <s v="BidSwitch"/>
    <x v="2"/>
    <n v="63460"/>
    <n v="212"/>
    <n v="26978"/>
    <n v="59516"/>
    <n v="4"/>
    <n v="1945.433188"/>
    <n v="3.340687046958714E-3"/>
    <n v="1.8867924528301886E-2"/>
    <n v="486.35829699999999"/>
    <n v="30.656054018279232"/>
    <n v="0.45328987163115803"/>
    <n v="72.111838831640597"/>
  </r>
  <r>
    <s v="Online Behavior&gt;United States&gt;Finance ¬ª Investing&gt;Stocks and Bonds"/>
    <x v="1"/>
    <x v="0"/>
    <s v="Miami-Ft. Lauderdale, Florida"/>
    <s v="Florida"/>
    <s v="ebay.com"/>
    <s v="Yahoo Exchange"/>
    <x v="1"/>
    <n v="680912"/>
    <n v="2000"/>
    <n v="388915"/>
    <n v="648524"/>
    <n v="39"/>
    <n v="7814.2624939999996"/>
    <n v="2.9372371172780038E-3"/>
    <n v="1.95E-2"/>
    <n v="200.36570497435898"/>
    <n v="11.476170920765091"/>
    <n v="0.59969253258167776"/>
    <n v="20.092468775953613"/>
  </r>
  <r>
    <s v="Online Behavior&gt;United States&gt;Home and Garden&gt;Home Furnishings"/>
    <x v="1"/>
    <x v="2"/>
    <s v="Chicago, Illinois"/>
    <s v="Illinois"/>
    <s v="nypost.com"/>
    <s v="Google Ad Manager"/>
    <x v="1"/>
    <n v="25377"/>
    <n v="101"/>
    <n v="16698"/>
    <n v="23798"/>
    <n v="2"/>
    <n v="5175.1429189999999"/>
    <n v="3.9799818733498834E-3"/>
    <n v="1.9801980198019802E-2"/>
    <n v="2587.5714594999999"/>
    <n v="203.93044563975255"/>
    <n v="0.70165560131103455"/>
    <n v="309.92591442088872"/>
  </r>
  <r>
    <s v="US ¬ª B2B ¬ª Purchase DM ¬ª Technology Services, Hardware and ¬ª or Software ¬ª I have no input into the final decision"/>
    <x v="0"/>
    <x v="3"/>
    <s v="Los Angeles, California"/>
    <s v="California"/>
    <s v="biblegateway.com"/>
    <s v="Google Ad Manager"/>
    <x v="1"/>
    <n v="130796"/>
    <n v="300"/>
    <n v="109118"/>
    <n v="122937"/>
    <n v="6"/>
    <n v="2196.6612319999999"/>
    <n v="2.2936481237958348E-3"/>
    <n v="0.02"/>
    <n v="366.11020533333334"/>
    <n v="16.794559711306157"/>
    <n v="0.88759283210099482"/>
    <n v="20.131062079583568"/>
  </r>
  <r>
    <s v="US ¬ª Reach ¬ª Propensity Models ¬ª Luxury Store Shoppers"/>
    <x v="2"/>
    <x v="0"/>
    <s v="Memphis, Tennessee"/>
    <s v="Tennessee"/>
    <s v="newsmemory.com"/>
    <s v="Google Ad Manager"/>
    <x v="1"/>
    <n v="15602"/>
    <n v="50"/>
    <n v="7676"/>
    <n v="13775"/>
    <n v="1"/>
    <n v="2600.894327"/>
    <n v="3.2047173439302655E-3"/>
    <n v="0.02"/>
    <n v="2600.894327"/>
    <n v="166.7026231893347"/>
    <n v="0.55724137931034479"/>
    <n v="338.83459184471081"/>
  </r>
  <r>
    <s v="US ¬ª Reach ¬ª Propensity Models ¬ª Lifestyle ¬ª Healthy Living"/>
    <x v="0"/>
    <x v="0"/>
    <s v="Peoria-Bloomington, Illinois"/>
    <s v="Illinois"/>
    <s v="realtor.com"/>
    <s v="Google Ad Manager"/>
    <x v="1"/>
    <n v="15449"/>
    <n v="50"/>
    <n v="4595"/>
    <n v="13765"/>
    <n v="1"/>
    <n v="3122.9425740000001"/>
    <n v="3.2364554340086737E-3"/>
    <n v="0.02"/>
    <n v="3122.9425740000001"/>
    <n v="202.1452892743867"/>
    <n v="0.33381765346894299"/>
    <n v="679.63929793253533"/>
  </r>
  <r>
    <s v="US ¬ª AUTO ¬ª Decision Maker for Auto Purchase ¬ª I shared equally in the decision"/>
    <x v="1"/>
    <x v="1"/>
    <s v="Chicago, Illinois"/>
    <s v="Illinois"/>
    <s v="ebay.com"/>
    <s v="Google Ad Manager"/>
    <x v="1"/>
    <n v="102884"/>
    <n v="299"/>
    <n v="42841"/>
    <n v="96539"/>
    <n v="6"/>
    <n v="2015.4483310000001"/>
    <n v="2.9061856070914816E-3"/>
    <n v="2.0066889632107024E-2"/>
    <n v="335.90805516666666"/>
    <n v="19.589521509661367"/>
    <n v="0.44376883953635321"/>
    <n v="47.044847949394274"/>
  </r>
  <r>
    <s v="Lotame ¬ª Offline CPG Purchasers ¬ª Product Segment ¬ª Home Supplies"/>
    <x v="0"/>
    <x v="1"/>
    <s v="Los Angeles, California"/>
    <s v="California"/>
    <s v="ebay.com"/>
    <s v="PubMatic"/>
    <x v="1"/>
    <n v="13326"/>
    <n v="98"/>
    <n v="3568"/>
    <n v="11388"/>
    <n v="2"/>
    <n v="1442.032183"/>
    <n v="7.3540447245985293E-3"/>
    <n v="2.0408163265306121E-2"/>
    <n v="721.01609150000002"/>
    <n v="108.21193028665766"/>
    <n v="0.31331225851773797"/>
    <n v="404.1570019618834"/>
  </r>
  <r>
    <s v="US Demographic ¬ª Preferred Language ¬ª Non-Hispanic"/>
    <x v="0"/>
    <x v="0"/>
    <s v="Nashville, Tennessee"/>
    <s v="Tennessee"/>
    <s v="wikihow.com"/>
    <s v="BidSwitch"/>
    <x v="1"/>
    <n v="37355"/>
    <n v="145"/>
    <n v="17138"/>
    <n v="35689"/>
    <n v="3"/>
    <n v="1577.366086"/>
    <n v="3.8816758131441573E-3"/>
    <n v="2.0689655172413793E-2"/>
    <n v="525.78869533333329"/>
    <n v="42.226370927586672"/>
    <n v="0.48020398442097006"/>
    <n v="92.039099428171312"/>
  </r>
  <r>
    <s v="US ¬ªConnected Impulse-Shopper Audience"/>
    <x v="0"/>
    <x v="3"/>
    <s v="West Palm Beach-Ft. Pierce, Florida"/>
    <s v="Florida"/>
    <s v="boxrox.com"/>
    <s v="Smart RTB+ (Smartadserver)"/>
    <x v="1"/>
    <n v="35034"/>
    <n v="145"/>
    <n v="13904"/>
    <n v="34123"/>
    <n v="3"/>
    <n v="2141.4693459999999"/>
    <n v="4.1388365587714795E-3"/>
    <n v="2.0689655172413793E-2"/>
    <n v="713.82311533333325"/>
    <n v="61.125459439401723"/>
    <n v="0.40746710429915306"/>
    <n v="154.01822108745685"/>
  </r>
  <r>
    <s v="Real Estate ¬ª Rent Amount ¬ª Sensible  Rentals ($1000-$3000)"/>
    <x v="0"/>
    <x v="3"/>
    <s v="Los Angeles, California"/>
    <s v="California"/>
    <s v="drugs.com"/>
    <s v="Smart RTB+ (Smartadserver)"/>
    <x v="0"/>
    <n v="49415"/>
    <n v="144"/>
    <n v="24692"/>
    <n v="45565"/>
    <n v="3"/>
    <n v="1471.1757279999999"/>
    <n v="2.914094910452292E-3"/>
    <n v="2.0833333333333332E-2"/>
    <n v="490.39190933333333"/>
    <n v="29.771845148234341"/>
    <n v="0.54190716558762209"/>
    <n v="59.581067876235217"/>
  </r>
  <r>
    <s v="Online Behavior&gt;United States&gt;Hobbies and Leisure&gt;Clubs and Organizations"/>
    <x v="2"/>
    <x v="0"/>
    <s v="Chicago, Illinois"/>
    <s v="Illinois"/>
    <s v="weather.com"/>
    <s v="Google Ad Manager"/>
    <x v="1"/>
    <n v="207823"/>
    <n v="600"/>
    <n v="33602"/>
    <n v="167814"/>
    <n v="13"/>
    <n v="6048.9556110000003"/>
    <n v="2.8870721719925128E-3"/>
    <n v="2.1666666666666667E-2"/>
    <n v="465.30427776923079"/>
    <n v="29.10628569022678"/>
    <n v="0.20023359195299559"/>
    <n v="180.0177254627701"/>
  </r>
  <r>
    <s v="Online Behavior&gt;United States&gt;Arts and Entertainment&gt;Comics and Animation"/>
    <x v="0"/>
    <x v="0"/>
    <s v="Knoxville, Tennessee"/>
    <s v="Tennessee"/>
    <s v="fox59.com"/>
    <s v="Google Ad Manager"/>
    <x v="1"/>
    <n v="7583"/>
    <n v="45"/>
    <n v="4608"/>
    <n v="5881"/>
    <n v="1"/>
    <n v="5033.4825780000001"/>
    <n v="5.9343267835948836E-3"/>
    <n v="2.2222222222222223E-2"/>
    <n v="5033.4825780000001"/>
    <n v="663.78512171963598"/>
    <n v="0.78354021424927733"/>
    <n v="1092.3356289062499"/>
  </r>
  <r>
    <s v="Online Behavior&gt;United States&gt;Real Estate&gt;Homeowner"/>
    <x v="0"/>
    <x v="3"/>
    <s v="New York City, New York"/>
    <s v="New York"/>
    <s v="ebay.com"/>
    <s v="Google Ad Manager"/>
    <x v="1"/>
    <n v="161178"/>
    <n v="492"/>
    <n v="70181"/>
    <n v="150003"/>
    <n v="11"/>
    <n v="5892.48218"/>
    <n v="3.0525257789524624E-3"/>
    <n v="2.2357723577235773E-2"/>
    <n v="535.68019818181813"/>
    <n v="36.558849098512205"/>
    <n v="0.46786397605381225"/>
    <n v="83.96121713854177"/>
  </r>
  <r>
    <s v="Online Behavior&gt;United States&gt;The Changing Consumer&gt;Happy at Home"/>
    <x v="0"/>
    <x v="2"/>
    <s v="Los Angeles, California"/>
    <s v="California"/>
    <s v="msn.com"/>
    <s v="Index Exchange"/>
    <x v="1"/>
    <n v="1575592"/>
    <n v="3874"/>
    <n v="1155869"/>
    <n v="1447900"/>
    <n v="88"/>
    <n v="7818.6482969999997"/>
    <n v="2.4587583587629283E-3"/>
    <n v="2.2715539494062985E-2"/>
    <n v="88.84827610227272"/>
    <n v="4.9623559252649159"/>
    <n v="0.79830720353615581"/>
    <n v="6.7643031321023397"/>
  </r>
  <r>
    <s v="US ¬ª Brand Propensities ¬ª Health ¬ª Beauty and Cosmetics ¬ª Mary Kay Buyer Propensity"/>
    <x v="1"/>
    <x v="2"/>
    <s v="Chicago, Illinois"/>
    <s v="Illinois"/>
    <s v="ebay.com"/>
    <s v="Magnite DV+"/>
    <x v="1"/>
    <n v="12088"/>
    <n v="88"/>
    <n v="1124"/>
    <n v="10003"/>
    <n v="2"/>
    <n v="1500.0261519999999"/>
    <n v="7.2799470549305099E-3"/>
    <n v="2.2727272727272728E-2"/>
    <n v="750.01307599999996"/>
    <n v="124.09217008603574"/>
    <n v="0.11236629011296612"/>
    <n v="1334.5428398576512"/>
  </r>
  <r>
    <s v="US ¬ª AUTO ¬ª Primary Vehicle ¬ª New or Used ¬ª Pre-owned"/>
    <x v="1"/>
    <x v="0"/>
    <s v="Miami-Ft. Lauderdale, Florida"/>
    <s v="Florida"/>
    <s v="billboard.com"/>
    <s v="Google Ad Manager"/>
    <x v="1"/>
    <n v="11325"/>
    <n v="88"/>
    <n v="6186"/>
    <n v="10612"/>
    <n v="2"/>
    <n v="1573.2540899999999"/>
    <n v="7.7704194260485651E-3"/>
    <n v="2.2727272727272728E-2"/>
    <n v="786.62704499999995"/>
    <n v="138.9186834437086"/>
    <n v="0.58292499057670566"/>
    <n v="254.32494180407369"/>
  </r>
  <r>
    <s v="Online Behavior&gt;United States&gt;Sports&gt;Team Sports ¬ª Rugby"/>
    <x v="0"/>
    <x v="3"/>
    <s v="New York City, New York"/>
    <s v="New York"/>
    <s v="mail.yahoo.com"/>
    <s v="BidSwitch"/>
    <x v="1"/>
    <n v="1956642"/>
    <n v="4563"/>
    <n v="981461"/>
    <n v="1731673"/>
    <n v="106"/>
    <n v="7730.240616"/>
    <n v="2.3320566562508626E-3"/>
    <n v="2.3230330922638615E-2"/>
    <n v="72.926798264150946"/>
    <n v="3.9507690297969682"/>
    <n v="0.56677040064723538"/>
    <n v="7.8762585736977835"/>
  </r>
  <r>
    <s v="Media and Entertainment ¬ª Sports and Recreational Activities ¬ª Interest (Affinity) ¬ª Team Sports ¬ª Football (American)"/>
    <x v="1"/>
    <x v="0"/>
    <s v="Tallahassee, Florida-Thomasville, Georgia"/>
    <s v="Florida-Thomasville, Georgia"/>
    <s v="msn.com"/>
    <s v="Google Ad Manager"/>
    <x v="1"/>
    <n v="47931"/>
    <n v="170"/>
    <n v="15989"/>
    <n v="38916"/>
    <n v="4"/>
    <n v="1487.228625"/>
    <n v="3.5467651415576557E-3"/>
    <n v="2.3529411764705882E-2"/>
    <n v="371.80715624999999"/>
    <n v="31.028533203980722"/>
    <n v="0.4108592866687224"/>
    <n v="93.015737381950089"/>
  </r>
  <r>
    <s v="US ¬ª Brand Propensities ¬ª Apparel ¬ª The Men's Wearhouse Buyer Propensity"/>
    <x v="0"/>
    <x v="2"/>
    <s v="Ft. Myers-Naples, Florida"/>
    <s v="Florida"/>
    <s v="yahoo.com"/>
    <s v="BidSwitch"/>
    <x v="0"/>
    <n v="59296"/>
    <n v="170"/>
    <n v="25482"/>
    <n v="54149"/>
    <n v="4"/>
    <n v="1568.7152590000001"/>
    <n v="2.8669724770642203E-3"/>
    <n v="2.3529411764705882E-2"/>
    <n v="392.17881475000002"/>
    <n v="26.455667481786293"/>
    <n v="0.47059040794843859"/>
    <n v="61.5617007691704"/>
  </r>
  <r>
    <s v="Mobile - US ¬ª Food ¬ª Restaurant ¬ª Brand ¬ª Red Lobster"/>
    <x v="0"/>
    <x v="1"/>
    <s v="Chicago, Illinois"/>
    <s v="Illinois"/>
    <s v="thesaurus.com"/>
    <s v="BidSwitch"/>
    <x v="1"/>
    <n v="57917"/>
    <n v="212"/>
    <n v="3650"/>
    <n v="55128"/>
    <n v="5"/>
    <n v="1669.7289049999999"/>
    <n v="3.6604105875649635E-3"/>
    <n v="2.358490566037736E-2"/>
    <n v="333.94578100000001"/>
    <n v="28.829685670873836"/>
    <n v="6.6209548686692793E-2"/>
    <n v="457.45997397260277"/>
  </r>
  <r>
    <s v="US ¬ª Interest Propensities ¬ª Food and Drink ¬ª American Cuisine"/>
    <x v="1"/>
    <x v="1"/>
    <s v="Chicago, Illinois"/>
    <s v="Illinois"/>
    <s v="realtor.com"/>
    <s v="Google Ad Manager"/>
    <x v="1"/>
    <n v="85280"/>
    <n v="211"/>
    <n v="35860"/>
    <n v="79837"/>
    <n v="5"/>
    <n v="2217.932092"/>
    <n v="2.4742026266416509E-3"/>
    <n v="2.3696682464454975E-2"/>
    <n v="443.58641840000001"/>
    <n v="26.007646482176359"/>
    <n v="0.44916517404211082"/>
    <n v="61.849751589514781"/>
  </r>
  <r>
    <s v="Purchase Behaviors ¬ª Q2 Spring Cleaners"/>
    <x v="1"/>
    <x v="0"/>
    <s v="Jackson, Mississippi"/>
    <s v="Mississippi"/>
    <s v="usatoday.com"/>
    <s v="BidSwitch"/>
    <x v="1"/>
    <n v="19549"/>
    <n v="84"/>
    <n v="6187"/>
    <n v="17166"/>
    <n v="2"/>
    <n v="1844.9869209999999"/>
    <n v="4.2968949818405038E-3"/>
    <n v="2.3809523809523808E-2"/>
    <n v="922.49346049999997"/>
    <n v="94.377560028645959"/>
    <n v="0.36042176395199815"/>
    <n v="298.20380168094391"/>
  </r>
  <r>
    <s v="US ¬ª Sociodemographic ¬ª ConneXions Lifestage ¬ª Y2 Emerging Techies"/>
    <x v="0"/>
    <x v="1"/>
    <s v="Memphis, Tennessee"/>
    <s v="Tennessee"/>
    <s v="shareably.net"/>
    <s v="Google Ad Manager"/>
    <x v="1"/>
    <n v="10485"/>
    <n v="84"/>
    <n v="4255"/>
    <n v="7669"/>
    <n v="2"/>
    <n v="2239.262819"/>
    <n v="8.0114449213161652E-3"/>
    <n v="2.3809523809523808E-2"/>
    <n v="1119.6314095"/>
    <n v="213.56822308059134"/>
    <n v="0.55483113834919806"/>
    <n v="526.2662324324325"/>
  </r>
  <r>
    <s v="Telecommunications (Telco)"/>
    <x v="1"/>
    <x v="2"/>
    <s v="Birmingham, Alabama"/>
    <s v="Alabama"/>
    <s v="biblegateway.com"/>
    <s v="Google Ad Manager"/>
    <x v="1"/>
    <n v="65380"/>
    <n v="208"/>
    <n v="30039"/>
    <n v="60482"/>
    <n v="5"/>
    <n v="2905.8841619999998"/>
    <n v="3.1814010400734167E-3"/>
    <n v="2.403846153846154E-2"/>
    <n v="581.17683239999997"/>
    <n v="44.446071612113798"/>
    <n v="0.49666016335438645"/>
    <n v="96.737047238589838"/>
  </r>
  <r>
    <s v="OnAudience ¬ª Interest ¬ª Shopping ¬ª Luxurious Brands"/>
    <x v="1"/>
    <x v="3"/>
    <s v="Ft. Myers-Naples, Florida"/>
    <s v="Florida"/>
    <s v="the-sun.com"/>
    <s v="Google Ad Manager"/>
    <x v="1"/>
    <n v="97346"/>
    <n v="790"/>
    <n v="44118"/>
    <n v="91080"/>
    <n v="19"/>
    <n v="1657.5648699999999"/>
    <n v="8.115382244776365E-3"/>
    <n v="2.4050632911392405E-2"/>
    <n v="87.240256315789466"/>
    <n v="17.027560146282333"/>
    <n v="0.48438735177865611"/>
    <n v="37.571169817308125"/>
  </r>
  <r>
    <s v="US ¬ª Reach ¬ª Propensity Models ¬ª Hobbies and Interest ¬ª Sports ¬ª Fishing"/>
    <x v="0"/>
    <x v="0"/>
    <s v="Knoxville, Tennessee"/>
    <s v="Tennessee"/>
    <s v="realtor.com"/>
    <s v="PubMatic"/>
    <x v="2"/>
    <n v="65043"/>
    <n v="160"/>
    <n v="25871"/>
    <n v="53969"/>
    <n v="4"/>
    <n v="2347.9185309999998"/>
    <n v="2.4599111357102225E-3"/>
    <n v="2.5000000000000001E-2"/>
    <n v="586.97963274999995"/>
    <n v="36.097943375920536"/>
    <n v="0.47936778521002799"/>
    <n v="90.754842526380884"/>
  </r>
  <r>
    <s v="Mobile - US ¬ª Food ¬ª Restaurant ¬ª Brand ¬ª Five Guys"/>
    <x v="0"/>
    <x v="3"/>
    <s v="Chicago, Illinois"/>
    <s v="Illinois"/>
    <s v="ebay.com"/>
    <s v="BidSwitch"/>
    <x v="1"/>
    <n v="9210"/>
    <n v="80"/>
    <n v="3798"/>
    <n v="8619"/>
    <n v="2"/>
    <n v="1536.629068"/>
    <n v="8.6862106406080351E-3"/>
    <n v="2.5000000000000001E-2"/>
    <n v="768.31453399999998"/>
    <n v="166.84354701411507"/>
    <n v="0.44065436825617821"/>
    <n v="404.58901211163771"/>
  </r>
  <r>
    <s v="US Home ¬ª Dwelling Type ¬ª Single-Family"/>
    <x v="0"/>
    <x v="3"/>
    <s v="Chicago, Illinois"/>
    <s v="Illinois"/>
    <s v="gamerant.com"/>
    <s v="Google Ad Manager"/>
    <x v="0"/>
    <n v="16202"/>
    <n v="80"/>
    <n v="11786"/>
    <n v="15365"/>
    <n v="2"/>
    <n v="1570.34276"/>
    <n v="4.937662017034934E-3"/>
    <n v="2.5000000000000001E-2"/>
    <n v="785.17138"/>
    <n v="96.922772497222553"/>
    <n v="0.76706801171493655"/>
    <n v="133.23797386730018"/>
  </r>
  <r>
    <s v="US ¬ª Brand Propensities ¬ª Big Box Dollar Tree Buyer Propensity"/>
    <x v="1"/>
    <x v="2"/>
    <s v="Miami-Ft. Lauderdale, Florida"/>
    <s v="Florida"/>
    <s v="outlook.live.com"/>
    <s v="Magnite DV+"/>
    <x v="1"/>
    <n v="8278"/>
    <n v="40"/>
    <n v="6758"/>
    <n v="7537"/>
    <n v="1"/>
    <n v="1526.296619"/>
    <n v="4.8320850446967869E-3"/>
    <n v="2.5000000000000001E-2"/>
    <n v="1526.296619"/>
    <n v="184.37987666102921"/>
    <n v="0.89664322674804298"/>
    <n v="225.85034314886059"/>
  </r>
  <r>
    <s v="Online Behavior&gt;United States&gt;Validated Demographic ¬ª Gender and Age Combined&gt;Males 18-64"/>
    <x v="0"/>
    <x v="1"/>
    <s v="Jacksonville, Florida"/>
    <s v="Florida"/>
    <s v="livescience.com"/>
    <s v="BidSwitch"/>
    <x v="1"/>
    <n v="9702"/>
    <n v="40"/>
    <n v="5564"/>
    <n v="8210"/>
    <n v="1"/>
    <n v="5711.3920099999996"/>
    <n v="4.1228612657184084E-3"/>
    <n v="2.5000000000000001E-2"/>
    <n v="5711.3920099999996"/>
    <n v="588.68192228406508"/>
    <n v="0.67771010962241174"/>
    <n v="1026.4902965492452"/>
  </r>
  <r>
    <s v="Online Behavior&gt;United States&gt;B2B ¬ª Occupation&gt;SystemsAnalyst"/>
    <x v="1"/>
    <x v="2"/>
    <s v="Chicago, Illinois"/>
    <s v="Illinois"/>
    <s v="espn.com"/>
    <s v="Google Ad Manager"/>
    <x v="1"/>
    <n v="95289"/>
    <n v="199"/>
    <n v="19527"/>
    <n v="82800"/>
    <n v="5"/>
    <n v="3223.5359480000002"/>
    <n v="2.0883837588808784E-3"/>
    <n v="2.5125628140703519E-2"/>
    <n v="644.70718959999999"/>
    <n v="33.8290458290044"/>
    <n v="0.23583333333333334"/>
    <n v="165.08096215496494"/>
  </r>
  <r>
    <s v="Media and Entertainment ¬ª Sports and Recreational Activities ¬ª Interest (Affinity) ¬ª Team Sports ¬ª Baseball ¬ª Major League Baseball (MLB)"/>
    <x v="0"/>
    <x v="0"/>
    <s v="Champaign &amp; Springfield-Decatur,Illinois"/>
    <s v="Illinois"/>
    <s v="aol.com"/>
    <s v="OpenX"/>
    <x v="1"/>
    <n v="11062"/>
    <n v="78"/>
    <n v="6539"/>
    <n v="9391"/>
    <n v="2"/>
    <n v="1500.09932"/>
    <n v="7.0511661544024589E-3"/>
    <n v="2.564102564102564E-2"/>
    <n v="750.04966000000002"/>
    <n v="135.60832760802748"/>
    <n v="0.6963049728463423"/>
    <n v="229.40806239486162"/>
  </r>
  <r>
    <s v="US ¬ª B2B ¬ª B2B Decision Maker Responsibilities ¬ª Marketing or Market Research"/>
    <x v="1"/>
    <x v="2"/>
    <s v="Jacksonville, Florida"/>
    <s v="Florida"/>
    <s v="fortune.com"/>
    <s v="Google Ad Manager"/>
    <x v="1"/>
    <n v="54134"/>
    <n v="155"/>
    <n v="37418"/>
    <n v="51299"/>
    <n v="4"/>
    <n v="1502.01775"/>
    <n v="2.8632652307237594E-3"/>
    <n v="2.5806451612903226E-2"/>
    <n v="375.50443749999999"/>
    <n v="27.746291609709239"/>
    <n v="0.72940993001812904"/>
    <n v="40.141582928002563"/>
  </r>
  <r>
    <s v="US ¬ª Brand Propensities ¬ª Health ¬ª Beauty and Cosmetics ¬ª Beachbody Buyer Propensity"/>
    <x v="1"/>
    <x v="0"/>
    <s v="Chicago, Illinois"/>
    <s v="Illinois"/>
    <s v="nypost.com"/>
    <s v="Google Ad Manager"/>
    <x v="1"/>
    <n v="152881"/>
    <n v="426"/>
    <n v="94895"/>
    <n v="145113"/>
    <n v="11"/>
    <n v="1496.6685239999999"/>
    <n v="2.786480988481237E-3"/>
    <n v="2.5821596244131457E-2"/>
    <n v="136.0607749090909"/>
    <n v="9.7897614746109713"/>
    <n v="0.65393865470357582"/>
    <n v="15.77183754676221"/>
  </r>
  <r>
    <s v="US ¬ª Interest Propensities ¬ª Social ¬ª Premium User Generated Content"/>
    <x v="0"/>
    <x v="0"/>
    <s v="Los Angeles, California"/>
    <s v="California"/>
    <s v="cnn.com"/>
    <s v="Google Ad Manager"/>
    <x v="1"/>
    <n v="88499"/>
    <n v="186"/>
    <n v="18950"/>
    <n v="71458"/>
    <n v="5"/>
    <n v="1803.1398119999999"/>
    <n v="2.1017186634877229E-3"/>
    <n v="2.6881720430107527E-2"/>
    <n v="360.6279624"/>
    <n v="20.374691375043785"/>
    <n v="0.26519074141453719"/>
    <n v="95.152496675461734"/>
  </r>
  <r>
    <s v="Online Behavior&gt;United States&gt;Travel&gt;Travel Guides and Travelogues"/>
    <x v="1"/>
    <x v="0"/>
    <s v="San Francisco, California"/>
    <s v="California"/>
    <s v="weather.com"/>
    <s v="Google Ad Manager"/>
    <x v="1"/>
    <n v="212009"/>
    <n v="555"/>
    <n v="16903"/>
    <n v="149653"/>
    <n v="15"/>
    <n v="3983.6217969999998"/>
    <n v="2.6178133947143754E-3"/>
    <n v="2.7027027027027029E-2"/>
    <n v="265.57478646666664"/>
    <n v="18.789871170563515"/>
    <n v="0.11294795293111398"/>
    <n v="235.67543021948765"/>
  </r>
  <r>
    <s v="Online Behavior&gt;United States&gt;The Changing Consumer&gt;Home Learning"/>
    <x v="1"/>
    <x v="2"/>
    <s v="Chicago, Illinois"/>
    <s v="Illinois"/>
    <s v="whatismyipaddress.com"/>
    <s v="Google Ad Manager"/>
    <x v="1"/>
    <n v="12209"/>
    <n v="147"/>
    <n v="3976"/>
    <n v="5219"/>
    <n v="4"/>
    <n v="3818.9551820000001"/>
    <n v="1.2040298140715866E-2"/>
    <n v="2.7210884353741496E-2"/>
    <n v="954.73879550000004"/>
    <n v="312.79836038987634"/>
    <n v="0.76183176853803414"/>
    <n v="960.50180633802813"/>
  </r>
  <r>
    <s v="Online Behavior&gt;United States&gt;Food and Drink&gt;Beverages ¬ª Juice"/>
    <x v="1"/>
    <x v="2"/>
    <s v="Los Angeles, California"/>
    <s v="California"/>
    <s v="realtor.com"/>
    <s v="Google Ad Manager"/>
    <x v="1"/>
    <n v="40859"/>
    <n v="144"/>
    <n v="17695"/>
    <n v="37108"/>
    <n v="4"/>
    <n v="6130.3684249999997"/>
    <n v="3.5243153283242368E-3"/>
    <n v="2.7777777777777776E-2"/>
    <n v="1532.5921062499999"/>
    <n v="150.0371625590445"/>
    <n v="0.47685135280801982"/>
    <n v="346.44636479231423"/>
  </r>
  <r>
    <s v="US ¬ª B2B ¬ª Purchase DM ¬ª Technology Services, Hardware and ¬ª or Software ¬ª I make the final decision with input from staff ¬ª management"/>
    <x v="0"/>
    <x v="3"/>
    <s v="West Palm Beach-Ft. Pierce, Florida"/>
    <s v="Florida"/>
    <s v="taboolanews.com"/>
    <s v="TripleLift"/>
    <x v="1"/>
    <n v="217824"/>
    <n v="560"/>
    <n v="75089"/>
    <n v="179723"/>
    <n v="16"/>
    <n v="1451.808544"/>
    <n v="2.5708829146466874E-3"/>
    <n v="2.8571428571428571E-2"/>
    <n v="90.738033999999999"/>
    <n v="6.6650531805494335"/>
    <n v="0.41780406514469487"/>
    <n v="19.334503642344419"/>
  </r>
  <r>
    <s v="Online Behavior&gt;United States&gt;Finance ¬ª Insurance&gt;Travel Insurance"/>
    <x v="0"/>
    <x v="3"/>
    <s v="Nashville, Tennessee"/>
    <s v="Tennessee"/>
    <s v="weather.com"/>
    <s v="Magnite DV+"/>
    <x v="1"/>
    <n v="61574"/>
    <n v="280"/>
    <n v="18717"/>
    <n v="46367"/>
    <n v="8"/>
    <n v="4999.6652050000002"/>
    <n v="4.5473738915776142E-3"/>
    <n v="2.8571428571428571E-2"/>
    <n v="624.95815062500003"/>
    <n v="81.197667928021573"/>
    <n v="0.40367071408544869"/>
    <n v="267.11894026820539"/>
  </r>
  <r>
    <s v="US ¬ª B2B ¬ª B2B Decision Maker Responsibilities ¬ª HR or Personnel Services"/>
    <x v="0"/>
    <x v="1"/>
    <s v="Los Angeles, California"/>
    <s v="California"/>
    <s v="foxnews.com"/>
    <s v="Google Ad Manager"/>
    <x v="0"/>
    <n v="51889"/>
    <n v="174"/>
    <n v="33879"/>
    <n v="49382"/>
    <n v="5"/>
    <n v="2172.8417469999999"/>
    <n v="3.3533118772764939E-3"/>
    <n v="2.8735632183908046E-2"/>
    <n v="434.56834939999999"/>
    <n v="41.874804814122449"/>
    <n v="0.68605969786561904"/>
    <n v="64.135356622096282"/>
  </r>
  <r>
    <s v="Online Behavior&gt;United States&gt;Validated Demographic ¬ª Age&gt;35-44"/>
    <x v="0"/>
    <x v="3"/>
    <s v="San Francisco, California"/>
    <s v="California"/>
    <s v="homehacks.co"/>
    <s v="Google Ad Manager"/>
    <x v="0"/>
    <n v="27473"/>
    <n v="69"/>
    <n v="11306"/>
    <n v="20625"/>
    <n v="2"/>
    <n v="2922.286102"/>
    <n v="2.5115568012230188E-3"/>
    <n v="2.8985507246376812E-2"/>
    <n v="1461.143051"/>
    <n v="106.36938455938558"/>
    <n v="0.54816969696969697"/>
    <n v="258.47214770918094"/>
  </r>
  <r>
    <s v="Online Behavior&gt;United States&gt;Life Event&gt;Bride"/>
    <x v="1"/>
    <x v="0"/>
    <s v="Nashville, Tennessee"/>
    <s v="Tennessee"/>
    <s v="businessinsider.com"/>
    <s v="TripleLift"/>
    <x v="1"/>
    <n v="11919"/>
    <n v="69"/>
    <n v="8100"/>
    <n v="11524"/>
    <n v="2"/>
    <n v="6350.916905"/>
    <n v="5.7890762647873142E-3"/>
    <n v="2.8985507246376812E-2"/>
    <n v="3175.4584525"/>
    <n v="532.83974368655083"/>
    <n v="0.70288094411662616"/>
    <n v="784.06381543209875"/>
  </r>
  <r>
    <s v="US ¬ª Brand Propensities ¬ª Restaurants and Dining ¬ª Seamless Buyer Propensity"/>
    <x v="0"/>
    <x v="2"/>
    <s v="Miami-Ft. Lauderdale, Florida"/>
    <s v="Florida"/>
    <s v="yahoo.com"/>
    <s v="BidSwitch"/>
    <x v="1"/>
    <n v="335664"/>
    <n v="852"/>
    <n v="148742"/>
    <n v="313071"/>
    <n v="25"/>
    <n v="1542.5002159999999"/>
    <n v="2.5382525382525384E-3"/>
    <n v="2.9342723004694836E-2"/>
    <n v="61.700008639999993"/>
    <n v="4.5953698222031552"/>
    <n v="0.47510628579459613"/>
    <n v="10.370307082061556"/>
  </r>
  <r>
    <s v="US ¬ª Brand Propensities ¬ª Food and Drug ¬ª Postmates Buyer Propensity"/>
    <x v="0"/>
    <x v="2"/>
    <s v="Mobile, Alabama-Pensacola, Florida"/>
    <s v="Alabama-Pensacola, Florida"/>
    <s v="pandora.com"/>
    <s v="Google Ad Manager"/>
    <x v="1"/>
    <n v="13202"/>
    <n v="101"/>
    <n v="10871"/>
    <n v="12885"/>
    <n v="3"/>
    <n v="1699.0608090000001"/>
    <n v="7.6503560066656564E-3"/>
    <n v="2.9702970297029702E-2"/>
    <n v="566.35360300000002"/>
    <n v="128.69722837448873"/>
    <n v="0.84369421808304235"/>
    <n v="156.2929637567841"/>
  </r>
  <r>
    <s v="Online Behavior&gt;United States&gt;Finance ¬ª Grants, Scholarships and Financial Aid&gt;Study Grants and Scholarships"/>
    <x v="2"/>
    <x v="3"/>
    <s v="Orlando-Daytona Beach, Florida"/>
    <s v="Florida"/>
    <s v="mail.aol.com"/>
    <s v="Google Ad Manager"/>
    <x v="1"/>
    <n v="39844"/>
    <n v="101"/>
    <n v="28001"/>
    <n v="36335"/>
    <n v="3"/>
    <n v="4439.368082"/>
    <n v="2.5348860556169061E-3"/>
    <n v="2.9702970297029702E-2"/>
    <n v="1479.7893606666667"/>
    <n v="111.41873511695613"/>
    <n v="0.77063437456997386"/>
    <n v="158.54319781436379"/>
  </r>
  <r>
    <s v="Online Behavior&gt;United States&gt;Autos and Vehicles ¬ª Brands&gt;BMW"/>
    <x v="2"/>
    <x v="2"/>
    <s v="West Palm Beach-Ft. Pierce, Florida"/>
    <s v="Florida"/>
    <s v="forbes.com"/>
    <s v="TripleLift"/>
    <x v="1"/>
    <n v="88022"/>
    <n v="370"/>
    <n v="45972"/>
    <n v="83922"/>
    <n v="11"/>
    <n v="5669.1447600000001"/>
    <n v="4.2034945809002293E-3"/>
    <n v="2.9729729729729731E-2"/>
    <n v="515.37679636363634"/>
    <n v="64.405998045943051"/>
    <n v="0.54779438049617502"/>
    <n v="123.31734012007308"/>
  </r>
  <r>
    <s v="Travel and Tourism ¬ª Interest (Affinity) ¬ª Destinations ¬ª Europe"/>
    <x v="1"/>
    <x v="1"/>
    <s v="Orlando-Daytona Beach, Florida"/>
    <s v="Florida"/>
    <s v="mail.aol.com"/>
    <s v="Magnite DV+"/>
    <x v="1"/>
    <n v="88819"/>
    <n v="200"/>
    <n v="65488"/>
    <n v="80451"/>
    <n v="6"/>
    <n v="1442.2279900000001"/>
    <n v="2.2517704545198663E-3"/>
    <n v="0.03"/>
    <n v="240.37133166666669"/>
    <n v="16.237831882817865"/>
    <n v="0.81401101291469347"/>
    <n v="22.02278264720254"/>
  </r>
  <r>
    <s v="Online Behavior&gt;United States&gt;Autos and Vehicles ¬ª Brands&gt;Kia"/>
    <x v="2"/>
    <x v="0"/>
    <s v="San Francisco, California"/>
    <s v="California"/>
    <s v="weather.com"/>
    <s v="Google Ad Manager"/>
    <x v="1"/>
    <n v="257862"/>
    <n v="700"/>
    <n v="105048"/>
    <n v="238629"/>
    <n v="21"/>
    <n v="5899.4294829999999"/>
    <n v="2.7146303061327376E-3"/>
    <n v="0.03"/>
    <n v="280.92521347619049"/>
    <n v="22.878242947778265"/>
    <n v="0.44021472662585015"/>
    <n v="56.159369840453891"/>
  </r>
  <r>
    <s v="Online Behavior&gt;United States&gt;Travel&gt;Tourist Destinations ¬ª Zoos-Aquariums-Preserves"/>
    <x v="1"/>
    <x v="3"/>
    <s v="Chicago, Illinois"/>
    <s v="Illinois"/>
    <s v="biblegateway.com"/>
    <s v="Index Exchange"/>
    <x v="1"/>
    <n v="106151"/>
    <n v="299"/>
    <n v="75304"/>
    <n v="99311"/>
    <n v="9"/>
    <n v="6616.8806599999998"/>
    <n v="2.816742188015186E-3"/>
    <n v="3.0100334448160536E-2"/>
    <n v="735.20896222222223"/>
    <n v="62.334605043758422"/>
    <n v="0.75826444200541732"/>
    <n v="87.868913470731968"/>
  </r>
  <r>
    <s v="US ¬ª B2B ¬ª Purchase DM ¬ª Technology Services, Hardware and ¬ª or Software ¬ª I am the sole decision maker"/>
    <x v="1"/>
    <x v="0"/>
    <s v="Chicago, Illinois"/>
    <s v="Illinois"/>
    <s v="phys.org"/>
    <s v="GumGum"/>
    <x v="1"/>
    <n v="56927"/>
    <n v="165"/>
    <n v="20980"/>
    <n v="55050"/>
    <n v="5"/>
    <n v="2463.8219170000002"/>
    <n v="2.8984488906845609E-3"/>
    <n v="3.0303030303030304E-2"/>
    <n v="492.76438340000004"/>
    <n v="43.2803751646846"/>
    <n v="0.38110808356039966"/>
    <n v="117.43669766444235"/>
  </r>
  <r>
    <s v="Media and Entertainment ¬ª Television (TV)"/>
    <x v="0"/>
    <x v="0"/>
    <s v="Grand Rapids-Kalamazoo, Michigan"/>
    <s v="Michigan"/>
    <s v="poshland.com"/>
    <s v="Google Ad Manager"/>
    <x v="1"/>
    <n v="9130"/>
    <n v="33"/>
    <n v="3721"/>
    <n v="5564"/>
    <n v="1"/>
    <n v="1655.7928569999999"/>
    <n v="3.6144578313253013E-3"/>
    <n v="3.0303030303030304E-2"/>
    <n v="1655.7928569999999"/>
    <n v="181.3573775465498"/>
    <n v="0.66876347951114301"/>
    <n v="444.98598683149686"/>
  </r>
  <r>
    <s v="US ¬ª Interest Propensities ¬ª Insurance ¬ª MassMutual"/>
    <x v="0"/>
    <x v="3"/>
    <s v="New York City, New York"/>
    <s v="New York"/>
    <s v="bbc.com"/>
    <s v="Google Ad Manager"/>
    <x v="0"/>
    <n v="32845"/>
    <n v="164"/>
    <n v="16163"/>
    <n v="30368"/>
    <n v="5"/>
    <n v="1910.436686"/>
    <n v="4.9931496422590954E-3"/>
    <n v="3.048780487804878E-2"/>
    <n v="382.08733719999998"/>
    <n v="58.165221068655811"/>
    <n v="0.53223788198103261"/>
    <n v="118.1981492297222"/>
  </r>
  <r>
    <s v="Media and Entertainment ¬ª Sports and Recreational Activities ¬ª Interest (Affinity) ¬ª Individual Sports"/>
    <x v="1"/>
    <x v="0"/>
    <s v="Chicago, Illinois"/>
    <s v="Illinois"/>
    <s v="yahoo.com"/>
    <s v="TripleLift"/>
    <x v="1"/>
    <n v="37227"/>
    <n v="130"/>
    <n v="13542"/>
    <n v="32456"/>
    <n v="4"/>
    <n v="1901.094691"/>
    <n v="3.4920890751336396E-3"/>
    <n v="3.0769230769230771E-2"/>
    <n v="475.27367275"/>
    <n v="51.067630778735868"/>
    <n v="0.41724180428888341"/>
    <n v="140.38507539506722"/>
  </r>
  <r>
    <s v="US ¬ª Reach ¬ª Propensity Models ¬ª Household Consumer Expenditures ¬ª Kitchen"/>
    <x v="1"/>
    <x v="2"/>
    <s v="San Francisco, California"/>
    <s v="California"/>
    <s v="culinaryhill.com"/>
    <s v="Google Ad Manager"/>
    <x v="1"/>
    <n v="10093"/>
    <n v="65"/>
    <n v="3901"/>
    <n v="9645"/>
    <n v="2"/>
    <n v="3105.2830039999999"/>
    <n v="6.4401070048548496E-3"/>
    <n v="3.0769230769230771E-2"/>
    <n v="1552.6415019999999"/>
    <n v="307.66699732487859"/>
    <n v="0.40445826853291861"/>
    <n v="796.02230299923087"/>
  </r>
  <r>
    <s v="Online Behavior&gt;United States&gt;Sports&gt;Team Sports ¬ª American Football"/>
    <x v="1"/>
    <x v="1"/>
    <s v="Nashville, Tennessee"/>
    <s v="Tennessee"/>
    <s v="msn.com"/>
    <s v="PubMatic"/>
    <x v="1"/>
    <n v="458931"/>
    <n v="974"/>
    <n v="264325"/>
    <n v="378011"/>
    <n v="30"/>
    <n v="7462.6779349999997"/>
    <n v="2.1223233993781202E-3"/>
    <n v="3.0800821355236138E-2"/>
    <n v="248.75593116666667"/>
    <n v="16.261002056954094"/>
    <n v="0.69925213816529153"/>
    <n v="28.232962962262366"/>
  </r>
  <r>
    <s v="Purchase-Based"/>
    <x v="0"/>
    <x v="3"/>
    <s v="Chicago, Illinois"/>
    <s v="Illinois"/>
    <s v="scitechdaily.com"/>
    <s v="Index Exchange"/>
    <x v="1"/>
    <n v="11289"/>
    <n v="97"/>
    <n v="1345"/>
    <n v="8187"/>
    <n v="3"/>
    <n v="1665.160445"/>
    <n v="8.5924351138276199E-3"/>
    <n v="3.0927835051546393E-2"/>
    <n v="555.0534816666667"/>
    <n v="147.50291832757551"/>
    <n v="0.16428484182240136"/>
    <n v="1238.0375055762083"/>
  </r>
  <r>
    <s v="Media and Entertainment ¬ª Sports and Recreational Activities ¬ª Interest (Affinity) ¬ª Olympics ¬ª Summer Olympics"/>
    <x v="1"/>
    <x v="1"/>
    <s v="Tampa-St Petersburg (Sarasota), Florida"/>
    <s v="Florida"/>
    <s v="att.yahoo.com"/>
    <s v="BidSwitch"/>
    <x v="1"/>
    <n v="10992"/>
    <n v="97"/>
    <n v="6677"/>
    <n v="10132"/>
    <n v="3"/>
    <n v="1675.987427"/>
    <n v="8.8245997088791852E-3"/>
    <n v="3.0927835051546393E-2"/>
    <n v="558.66247566666664"/>
    <n v="152.47338309679765"/>
    <n v="0.65900118436636401"/>
    <n v="251.0090500224652"/>
  </r>
  <r>
    <s v="Online Behavior&gt;United States&gt;Online Communities&gt;Photo and Video Sharing"/>
    <x v="0"/>
    <x v="0"/>
    <s v="Chicago, Illinois"/>
    <s v="Illinois"/>
    <s v="flightaware.com"/>
    <s v="PubMatic"/>
    <x v="1"/>
    <n v="12136"/>
    <n v="97"/>
    <n v="2089"/>
    <n v="11500"/>
    <n v="3"/>
    <n v="5224.9324630000001"/>
    <n v="7.9927488464073826E-3"/>
    <n v="3.0927835051546393E-2"/>
    <n v="1741.6441543333333"/>
    <n v="430.53167954845094"/>
    <n v="0.18165217391304347"/>
    <n v="2501.1644150311154"/>
  </r>
  <r>
    <s v="Lotame ¬ª Travel ¬ª Winter Holiday Travel"/>
    <x v="0"/>
    <x v="2"/>
    <s v="San Francisco, California"/>
    <s v="California"/>
    <s v="investing.com"/>
    <s v="Magnite DV+"/>
    <x v="2"/>
    <n v="81486"/>
    <n v="193"/>
    <n v="57653"/>
    <n v="76803"/>
    <n v="6"/>
    <n v="1463.8428739999999"/>
    <n v="2.3685050192671134E-3"/>
    <n v="3.1088082901554404E-2"/>
    <n v="243.97381233333331"/>
    <n v="17.964348157965784"/>
    <n v="0.75066078147989013"/>
    <n v="25.390575928399212"/>
  </r>
  <r>
    <s v="US ¬ª Reach ¬ª Propensity Models ¬ª Hobbies and Interest ¬ª Sports ¬ª NFL Enthusiast"/>
    <x v="0"/>
    <x v="2"/>
    <s v="Grand Rapids-Kalamazoo, Michigan"/>
    <s v="Michigan"/>
    <s v="medicalnewstoday.com"/>
    <s v="Google Ad Manager"/>
    <x v="1"/>
    <n v="22444"/>
    <n v="160"/>
    <n v="12672"/>
    <n v="21345"/>
    <n v="5"/>
    <n v="2539.2005629999999"/>
    <n v="7.1288540367135979E-3"/>
    <n v="3.125E-2"/>
    <n v="507.8401126"/>
    <n v="113.13493864729995"/>
    <n v="0.59367533380182713"/>
    <n v="200.3788323074495"/>
  </r>
  <r>
    <s v="Online Behavior&gt;United States&gt;Intent ¬ª Auto Buyers&gt;New"/>
    <x v="1"/>
    <x v="2"/>
    <s v="Los Angeles, California"/>
    <s v="California"/>
    <s v="whatismyipaddress.com"/>
    <s v="Google Ad Manager"/>
    <x v="1"/>
    <n v="42830"/>
    <n v="160"/>
    <n v="24499"/>
    <n v="34496"/>
    <n v="5"/>
    <n v="6261.5757240000003"/>
    <n v="3.7356992762082653E-3"/>
    <n v="3.125E-2"/>
    <n v="1252.3151448000001"/>
    <n v="146.19602437543779"/>
    <n v="0.71019828385899819"/>
    <n v="255.58495138577086"/>
  </r>
  <r>
    <s v="Online Behavior&gt;United States&gt;Validated Demographic ¬ª Age&gt;18 or older"/>
    <x v="0"/>
    <x v="1"/>
    <s v="Miami-Ft. Lauderdale, Florida"/>
    <s v="Florida"/>
    <s v="reference.com"/>
    <s v="Google Ad Manager"/>
    <x v="0"/>
    <n v="219088"/>
    <n v="541"/>
    <n v="75638"/>
    <n v="153987"/>
    <n v="17"/>
    <n v="6761.0738240000001"/>
    <n v="2.4693273935587528E-3"/>
    <n v="3.1423290203327174E-2"/>
    <n v="397.71022494117648"/>
    <n v="30.860082816037391"/>
    <n v="0.49119730886373525"/>
    <n v="89.387263333245201"/>
  </r>
  <r>
    <s v="Online Behavior&gt;United States&gt;Intent ¬ª Travel&gt;Future Travel"/>
    <x v="0"/>
    <x v="2"/>
    <s v="Chicago, Illinois"/>
    <s v="Illinois"/>
    <s v="weather.com"/>
    <s v="Google Ad Manager"/>
    <x v="1"/>
    <n v="100991"/>
    <n v="286"/>
    <n v="56138"/>
    <n v="88836"/>
    <n v="9"/>
    <n v="4652.3676290000003"/>
    <n v="2.8319355190066444E-3"/>
    <n v="3.1468531468531472E-2"/>
    <n v="516.92973655555556"/>
    <n v="46.067150825321072"/>
    <n v="0.63192849745598634"/>
    <n v="82.8737687306281"/>
  </r>
  <r>
    <s v="US ¬ª Brand Propensities ¬ª Electronics ¬ª Crutchfield Buyer Propensity"/>
    <x v="0"/>
    <x v="1"/>
    <s v="Los Angeles, California"/>
    <s v="California"/>
    <s v="signin.ebay.com"/>
    <s v="TripleLift"/>
    <x v="1"/>
    <n v="8437"/>
    <n v="63"/>
    <n v="5271"/>
    <n v="7065"/>
    <n v="2"/>
    <n v="1880.5331679999999"/>
    <n v="7.467109162024416E-3"/>
    <n v="3.1746031746031744E-2"/>
    <n v="940.26658399999997"/>
    <n v="222.89121346450162"/>
    <n v="0.74607218683651799"/>
    <n v="356.76971504458356"/>
  </r>
  <r>
    <s v="Real Estate ¬ª Sale Activity ¬ª Just Sold"/>
    <x v="1"/>
    <x v="2"/>
    <s v="Lafayette, Indiana"/>
    <s v="Indiana"/>
    <s v="forbes.com"/>
    <s v="Google Ad Manager"/>
    <x v="1"/>
    <n v="111884"/>
    <n v="220"/>
    <n v="53017"/>
    <n v="106432"/>
    <n v="7"/>
    <n v="1786.1051219999999"/>
    <n v="1.9663222623431411E-3"/>
    <n v="3.1818181818181815E-2"/>
    <n v="255.15787457142855"/>
    <n v="15.963901201244145"/>
    <n v="0.49813026157546603"/>
    <n v="33.689290642624066"/>
  </r>
  <r>
    <s v="Online Behavior&gt;United States&gt;Finance ¬ª Banking&gt;Banking"/>
    <x v="1"/>
    <x v="3"/>
    <s v="Los Angeles, California"/>
    <s v="California"/>
    <s v="msn.com"/>
    <s v="Google Ad Manager"/>
    <x v="1"/>
    <n v="921791"/>
    <n v="2150"/>
    <n v="668449"/>
    <n v="852442"/>
    <n v="69"/>
    <n v="8042.8979490000002"/>
    <n v="2.3324159164062135E-3"/>
    <n v="3.2093023255813952E-2"/>
    <n v="116.56373839130435"/>
    <n v="8.7252945071062751"/>
    <n v="0.78415774914891567"/>
    <n v="12.032178893228952"/>
  </r>
  <r>
    <s v="Mobile - US ¬ª Food ¬ª Restaurant ¬ª Brand ¬ª Moes Southwest Grill"/>
    <x v="1"/>
    <x v="1"/>
    <s v="Jacksonville, Florida"/>
    <s v="Florida"/>
    <s v="mapquest.com"/>
    <s v="Index Exchange"/>
    <x v="1"/>
    <n v="21903"/>
    <n v="124"/>
    <n v="18831"/>
    <n v="20922"/>
    <n v="4"/>
    <n v="1661.167909"/>
    <n v="5.661324932657627E-3"/>
    <n v="3.2258064516129031E-2"/>
    <n v="415.29197725"/>
    <n v="75.842026617358357"/>
    <n v="0.90005735589331803"/>
    <n v="88.214535022038135"/>
  </r>
  <r>
    <s v="Online Behavior&gt;United States&gt;Travel&gt;Specialty Travel ¬ª Adventure Travel"/>
    <x v="1"/>
    <x v="3"/>
    <s v="Chicago, Illinois"/>
    <s v="Illinois"/>
    <s v="biblegateway.com"/>
    <s v="Google Ad Manager"/>
    <x v="1"/>
    <n v="108559"/>
    <n v="212"/>
    <n v="79254"/>
    <n v="100563"/>
    <n v="7"/>
    <n v="6850.5764829999998"/>
    <n v="1.952855129468768E-3"/>
    <n v="3.3018867924528301E-2"/>
    <n v="978.65378328571421"/>
    <n v="63.104638795493692"/>
    <n v="0.78810298022135383"/>
    <n v="86.43824265021324"/>
  </r>
  <r>
    <s v="Online Behavior&gt;United States&gt;Jobs and Education&gt;Education"/>
    <x v="0"/>
    <x v="2"/>
    <s v="Chicago, Illinois"/>
    <s v="Illinois"/>
    <s v="biblegateway.com"/>
    <s v="Google Ad Manager"/>
    <x v="0"/>
    <n v="113420"/>
    <n v="333"/>
    <n v="33557"/>
    <n v="104929"/>
    <n v="11"/>
    <n v="5124.4359340000001"/>
    <n v="2.9359901251983776E-3"/>
    <n v="3.3033033033033031E-2"/>
    <n v="465.85781218181819"/>
    <n v="45.181060959266446"/>
    <n v="0.31980672645312547"/>
    <n v="152.70840462496648"/>
  </r>
  <r>
    <s v="Media and Entertainment ¬ª Audio and Video Streaming ¬ª Streaming Video"/>
    <x v="1"/>
    <x v="0"/>
    <s v="Grand Rapids-Kalamazoo, Michigan"/>
    <s v="Michigan"/>
    <s v="wunderground.com"/>
    <s v="OpenX"/>
    <x v="1"/>
    <n v="13713"/>
    <n v="151"/>
    <n v="8339"/>
    <n v="13051"/>
    <n v="5"/>
    <n v="1490.0061969999999"/>
    <n v="1.1011448990009481E-2"/>
    <n v="3.3112582781456956E-2"/>
    <n v="298.00123939999997"/>
    <n v="108.6564717421425"/>
    <n v="0.63895486935866985"/>
    <n v="178.67924175560617"/>
  </r>
  <r>
    <s v="Online Behavior&gt;United States&gt;Food and Drink&gt;Beverages ¬ª Soft Drinks"/>
    <x v="0"/>
    <x v="1"/>
    <s v="Knoxville, Tennessee"/>
    <s v="Tennessee"/>
    <s v="lotterypost.com"/>
    <s v="Magnite DV+"/>
    <x v="1"/>
    <n v="150457"/>
    <n v="420"/>
    <n v="58372"/>
    <n v="135099"/>
    <n v="14"/>
    <n v="5906.8300060000001"/>
    <n v="2.7914952444884583E-3"/>
    <n v="3.3333333333333333E-2"/>
    <n v="421.91642899999999"/>
    <n v="39.259256837501745"/>
    <n v="0.43206833507279846"/>
    <n v="101.19286654560406"/>
  </r>
  <r>
    <s v="US ¬ª B2B ¬ª B2B Decision Maker Responsibilities ¬ª Computer Hardware"/>
    <x v="1"/>
    <x v="3"/>
    <s v="San Francisco, California"/>
    <s v="California"/>
    <s v="finance.yahoo.com"/>
    <s v="Sovrn"/>
    <x v="1"/>
    <n v="51056"/>
    <n v="120"/>
    <n v="24672"/>
    <n v="45563"/>
    <n v="4"/>
    <n v="2215.6318449999999"/>
    <n v="2.3503603885929175E-3"/>
    <n v="3.3333333333333333E-2"/>
    <n v="553.90796124999997"/>
    <n v="43.396111034942024"/>
    <n v="0.54149200008779053"/>
    <n v="89.803495663099866"/>
  </r>
  <r>
    <s v="US ¬ª Interest Propensities ¬ª Insurance ¬ª New York Life"/>
    <x v="0"/>
    <x v="0"/>
    <s v="Chicago, Illinois"/>
    <s v="Illinois"/>
    <s v="nytimes.com"/>
    <s v="Magnite DV+"/>
    <x v="1"/>
    <n v="14932"/>
    <n v="90"/>
    <n v="8947"/>
    <n v="14256"/>
    <n v="3"/>
    <n v="1724.417704"/>
    <n v="6.0273238682025179E-3"/>
    <n v="3.3333333333333333E-2"/>
    <n v="574.80590133333328"/>
    <n v="115.48471095633538"/>
    <n v="0.6275953984287318"/>
    <n v="192.73697373421257"/>
  </r>
  <r>
    <s v="Mobile - US ¬ª Automotive ¬ª Repair &amp; Oil Change ¬ª Intend"/>
    <x v="1"/>
    <x v="0"/>
    <s v="San Francisco, California"/>
    <s v="California"/>
    <s v="therighthairstyles.com"/>
    <s v="Index Exchange"/>
    <x v="1"/>
    <n v="9157"/>
    <n v="60"/>
    <n v="4520"/>
    <n v="8037"/>
    <n v="2"/>
    <n v="1449.1778039999999"/>
    <n v="6.5523643114557169E-3"/>
    <n v="3.3333333333333333E-2"/>
    <n v="724.58890199999996"/>
    <n v="158.25901539805614"/>
    <n v="0.56239890506407864"/>
    <n v="320.61455840707964"/>
  </r>
  <r>
    <s v="US ¬ª Reach ¬ª Propensity Models ¬ª Hobbies and Interest ¬ª Sports ¬ª Hunting Enthusiasts"/>
    <x v="0"/>
    <x v="1"/>
    <s v="Los Angeles, California"/>
    <s v="California"/>
    <s v="ranker.com"/>
    <s v="BidSwitch"/>
    <x v="0"/>
    <n v="65243"/>
    <n v="120"/>
    <n v="39543"/>
    <n v="54290"/>
    <n v="4"/>
    <n v="3754.6852469999999"/>
    <n v="1.8392777769262604E-3"/>
    <n v="3.3333333333333333E-2"/>
    <n v="938.67131174999997"/>
    <n v="57.549242784666554"/>
    <n v="0.72836618161724076"/>
    <n v="94.951957287004021"/>
  </r>
  <r>
    <s v="US Financial ¬ª Likely Attitude and Behavior ¬ª Bank Selection ¬ª Customer Service Very Important (Financial)"/>
    <x v="2"/>
    <x v="1"/>
    <s v="Orlando-Daytona Beach, Florida"/>
    <s v="Florida"/>
    <s v="carscoops.com"/>
    <s v="PubMatic"/>
    <x v="1"/>
    <n v="8862"/>
    <n v="30"/>
    <n v="1359"/>
    <n v="7114"/>
    <n v="1"/>
    <n v="1481.9451570000001"/>
    <n v="3.3852403520649968E-3"/>
    <n v="3.3333333333333333E-2"/>
    <n v="1481.9451570000001"/>
    <n v="167.22468483412322"/>
    <n v="0.1910317683441102"/>
    <n v="1090.4673708609273"/>
  </r>
  <r>
    <s v="Online Behavior&gt;United States&gt;Autos and Vehicles ¬ª Brands&gt;Volkswagen"/>
    <x v="0"/>
    <x v="0"/>
    <s v="Ft. Myers-Naples, Florida"/>
    <s v="Florida"/>
    <s v="mlb.com"/>
    <s v="Google Ad Manager"/>
    <x v="1"/>
    <n v="7789"/>
    <n v="30"/>
    <n v="4655"/>
    <n v="7434"/>
    <n v="1"/>
    <n v="6396.8687630000004"/>
    <n v="3.8515855693927333E-3"/>
    <n v="3.3333333333333333E-2"/>
    <n v="6396.8687630000004"/>
    <n v="821.26958056233161"/>
    <n v="0.62617702448210921"/>
    <n v="1374.1930747583244"/>
  </r>
  <r>
    <s v="Online Behavior&gt;United States&gt;Games&gt;Arcade and Coin-Op Games"/>
    <x v="1"/>
    <x v="1"/>
    <s v="Ft. Myers-Naples, Florida"/>
    <s v="Florida"/>
    <s v="yahoo.com"/>
    <s v="BidSwitch"/>
    <x v="1"/>
    <n v="120603"/>
    <n v="298"/>
    <n v="47405"/>
    <n v="100881"/>
    <n v="10"/>
    <n v="6633.5326349999996"/>
    <n v="2.4709169755312886E-3"/>
    <n v="3.3557046979865772E-2"/>
    <n v="663.35326349999991"/>
    <n v="55.003048307256037"/>
    <n v="0.46991009208869855"/>
    <n v="139.9331850015821"/>
  </r>
  <r>
    <s v="US ¬ª Demo ¬ª Age ¬ª 55-64"/>
    <x v="0"/>
    <x v="1"/>
    <s v="Grand Rapids-Kalamazoo, Michigan"/>
    <s v="Michigan"/>
    <s v="ajc.com"/>
    <s v="Magnite DV+"/>
    <x v="1"/>
    <n v="14136"/>
    <n v="88"/>
    <n v="4683"/>
    <n v="13273"/>
    <n v="3"/>
    <n v="1476.5368410000001"/>
    <n v="6.2252405206564797E-3"/>
    <n v="3.4090909090909088E-2"/>
    <n v="492.17894700000005"/>
    <n v="104.45223832767404"/>
    <n v="0.35282151736608153"/>
    <n v="315.29721140294686"/>
  </r>
  <r>
    <s v="US ¬ªRural Improvement Fanatic"/>
    <x v="1"/>
    <x v="0"/>
    <s v="New York City, New York"/>
    <s v="New York"/>
    <s v="cnbc.com"/>
    <s v="Index Exchange"/>
    <x v="1"/>
    <n v="10677"/>
    <n v="88"/>
    <n v="7247"/>
    <n v="10338"/>
    <n v="3"/>
    <n v="1483.452706"/>
    <n v="8.2420155474384194E-3"/>
    <n v="3.4090909090909088E-2"/>
    <n v="494.48423533333334"/>
    <n v="138.93909394024539"/>
    <n v="0.70100599729154578"/>
    <n v="204.69886932523804"/>
  </r>
  <r>
    <s v="Online Behavior&gt;United States&gt;Validated Demographic ¬ª Gender and Age Combined&gt;Males 18-54"/>
    <x v="0"/>
    <x v="2"/>
    <s v="Nashville, Tennessee"/>
    <s v="Tennessee"/>
    <s v="accuweather.com"/>
    <s v="Google Ad Manager"/>
    <x v="1"/>
    <n v="14730"/>
    <n v="88"/>
    <n v="1272"/>
    <n v="12427"/>
    <n v="3"/>
    <n v="5190.5359980000003"/>
    <n v="5.9742023082145282E-3"/>
    <n v="3.4090909090909088E-2"/>
    <n v="1730.178666"/>
    <n v="352.37854704684321"/>
    <n v="0.10235776937313913"/>
    <n v="4080.610061320755"/>
  </r>
  <r>
    <s v="US ¬ª B2B ¬ª B2B Decision Maker Responsibilities ¬ª Television providers ¬ª services"/>
    <x v="0"/>
    <x v="0"/>
    <s v="Jacksonville, Florida"/>
    <s v="Florida"/>
    <s v="streetinsider.com"/>
    <s v="Google Ad Manager"/>
    <x v="0"/>
    <n v="56737"/>
    <n v="145"/>
    <n v="41296"/>
    <n v="53472"/>
    <n v="5"/>
    <n v="2028.370144"/>
    <n v="2.555651514884467E-3"/>
    <n v="3.4482758620689655E-2"/>
    <n v="405.67402879999997"/>
    <n v="35.750394698344991"/>
    <n v="0.7722920406941951"/>
    <n v="49.117835722588147"/>
  </r>
  <r>
    <s v="Online Behavior&gt;United States&gt;The Changing Consumer&gt;Telehealth"/>
    <x v="2"/>
    <x v="1"/>
    <s v="Jacksonville, Florida"/>
    <s v="Florida"/>
    <s v="slickdeals.net"/>
    <s v="Magnite DV+"/>
    <x v="1"/>
    <n v="19408"/>
    <n v="58"/>
    <n v="6596"/>
    <n v="13880"/>
    <n v="2"/>
    <n v="5492.8216480000001"/>
    <n v="2.9884583676834295E-3"/>
    <n v="3.4482758620689655E-2"/>
    <n v="2746.410824"/>
    <n v="283.01842786479801"/>
    <n v="0.47521613832853027"/>
    <n v="832.75040145542755"/>
  </r>
  <r>
    <s v="Online Behavior&gt;United States&gt;Arts and Entertainment&gt;Events and Listings ¬ª Concerts and Music Festivals"/>
    <x v="2"/>
    <x v="1"/>
    <s v="Chicago, Illinois"/>
    <s v="Illinois"/>
    <s v="usssa.com"/>
    <s v="Google Ad Manager"/>
    <x v="1"/>
    <n v="446774"/>
    <n v="951"/>
    <n v="196581"/>
    <n v="379758"/>
    <n v="33"/>
    <n v="6956.6273659999997"/>
    <n v="2.1285929798958757E-3"/>
    <n v="3.4700315457413249E-2"/>
    <n v="210.80688987878787"/>
    <n v="15.570797239767757"/>
    <n v="0.51764808114641425"/>
    <n v="35.388096336878945"/>
  </r>
  <r>
    <s v="US Financial ¬ª Estimated Discretionary Spending (Financial) ¬ª Greater than $2,499"/>
    <x v="1"/>
    <x v="3"/>
    <s v="Nashville, Tennessee"/>
    <s v="Tennessee"/>
    <s v="biblestudytools.com"/>
    <s v="Google Ad Manager"/>
    <x v="1"/>
    <n v="10779"/>
    <n v="86"/>
    <n v="6420"/>
    <n v="10287"/>
    <n v="3"/>
    <n v="1759.704833"/>
    <n v="7.9784766675943964E-3"/>
    <n v="3.4883720930232558E-2"/>
    <n v="586.56827766666663"/>
    <n v="163.25306920864645"/>
    <n v="0.6240886555847186"/>
    <n v="274.09732601246105"/>
  </r>
  <r>
    <s v="Online Behavior&gt;United States&gt;B2B ¬ª Occupation&gt;ElectricalEngineer"/>
    <x v="1"/>
    <x v="1"/>
    <s v="Chicago, Illinois"/>
    <s v="Illinois"/>
    <s v="miamiherald.com"/>
    <s v="Google Ad Manager"/>
    <x v="1"/>
    <n v="38735"/>
    <n v="114"/>
    <n v="28719"/>
    <n v="36629"/>
    <n v="4"/>
    <n v="2127.8240660000001"/>
    <n v="2.9430747386084938E-3"/>
    <n v="3.5087719298245612E-2"/>
    <n v="531.95601650000003"/>
    <n v="54.93285313024397"/>
    <n v="0.78405088864014849"/>
    <n v="74.091161461053659"/>
  </r>
  <r>
    <s v="Online Behavior&gt;United States&gt;Autos and Vehicles ¬ª Brands&gt;GM-Daewoo"/>
    <x v="1"/>
    <x v="2"/>
    <s v="Rockford, Illinois"/>
    <s v="Illinois"/>
    <s v="msn.com"/>
    <s v="Google Ad Manager"/>
    <x v="1"/>
    <n v="48436"/>
    <n v="171"/>
    <n v="16543"/>
    <n v="42427"/>
    <n v="6"/>
    <n v="4386.6482150000002"/>
    <n v="3.5304319101494754E-3"/>
    <n v="3.5087719298245612E-2"/>
    <n v="731.10803583333336"/>
    <n v="90.565864542901977"/>
    <n v="0.3899167982652556"/>
    <n v="265.16642779423319"/>
  </r>
  <r>
    <s v="Purchase Behaviors ¬ª Q2 Environmentally Concerned Shoppers"/>
    <x v="1"/>
    <x v="2"/>
    <s v="Nashville, Tennessee"/>
    <s v="Tennessee"/>
    <s v="cars.com"/>
    <s v="Sovrn"/>
    <x v="1"/>
    <n v="66554"/>
    <n v="169"/>
    <n v="39206"/>
    <n v="62109"/>
    <n v="6"/>
    <n v="1890.885935"/>
    <n v="2.5392914024701748E-3"/>
    <n v="3.5502958579881658E-2"/>
    <n v="315.14765583333332"/>
    <n v="28.411304128977971"/>
    <n v="0.6312450691526188"/>
    <n v="48.229504029995411"/>
  </r>
  <r>
    <s v="Online Behavior&gt;United States&gt;Autos and Vehicles&gt;Boats and Watercraft"/>
    <x v="1"/>
    <x v="0"/>
    <s v="Chicago, Illinois"/>
    <s v="Illinois"/>
    <s v="fandomwire.com"/>
    <s v="OpenX"/>
    <x v="1"/>
    <n v="111624"/>
    <n v="590"/>
    <n v="40343"/>
    <n v="101306"/>
    <n v="21"/>
    <n v="6510.4466560000001"/>
    <n v="5.285601662724862E-3"/>
    <n v="3.5593220338983052E-2"/>
    <n v="310.02126933333335"/>
    <n v="58.324792661076472"/>
    <n v="0.39822912759362722"/>
    <n v="161.37735557593635"/>
  </r>
  <r>
    <s v="Online Behavior&gt;United States&gt;Finance ¬ª Financial Planning and Management&gt;Financial Planning and Management"/>
    <x v="1"/>
    <x v="3"/>
    <s v="Chicago, Illinois"/>
    <s v="Illinois"/>
    <s v="mail.yahoo.com"/>
    <s v="Xandr - Monetize SSP (AppNexus)"/>
    <x v="1"/>
    <n v="1323451"/>
    <n v="3414"/>
    <n v="737990"/>
    <n v="1177859"/>
    <n v="123"/>
    <n v="8187.1145409999999"/>
    <n v="2.5796194947905137E-3"/>
    <n v="3.6028119507908608E-2"/>
    <n v="66.561906837398368"/>
    <n v="6.1861863725970965"/>
    <n v="0.62655207456919715"/>
    <n v="11.093801462079432"/>
  </r>
  <r>
    <s v="US ¬ª B2B ¬ª B2B Decision Maker Responsibilities ¬ª Computer Software"/>
    <x v="0"/>
    <x v="0"/>
    <s v="Los Angeles, California"/>
    <s v="California"/>
    <s v="mail.aol.com"/>
    <s v="BidSwitch"/>
    <x v="1"/>
    <n v="136733"/>
    <n v="110"/>
    <n v="102728"/>
    <n v="127130"/>
    <n v="4"/>
    <n v="1946.0504470000001"/>
    <n v="8.0448757798044367E-4"/>
    <n v="3.6363636363636362E-2"/>
    <n v="486.51261175000002"/>
    <n v="14.232485552134452"/>
    <n v="0.80805474710925829"/>
    <n v="18.94371979401916"/>
  </r>
  <r>
    <s v="US ¬ª Reach ¬ª Propensity Models ¬ª Online ¬ª Electronics and Gadgets"/>
    <x v="0"/>
    <x v="2"/>
    <s v="Orlando-Daytona Beach, Florida"/>
    <s v="Florida"/>
    <s v="screenrant.com"/>
    <s v="Magnite DV+"/>
    <x v="1"/>
    <n v="10389"/>
    <n v="55"/>
    <n v="8161"/>
    <n v="9951"/>
    <n v="2"/>
    <n v="2582.4938470000002"/>
    <n v="5.2940610260852825E-3"/>
    <n v="3.6363636363636362E-2"/>
    <n v="1291.2469235000001"/>
    <n v="248.57963682741365"/>
    <n v="0.82011858104713098"/>
    <n v="316.44330927582405"/>
  </r>
  <r>
    <s v="Online Behavior&gt;United States&gt;Intent ¬ª Shopping&gt;Fashion"/>
    <x v="0"/>
    <x v="3"/>
    <s v="Los Angeles, California"/>
    <s v="California"/>
    <s v="outlook.live.com"/>
    <s v="Google Ad Manager"/>
    <x v="0"/>
    <n v="102958"/>
    <n v="320"/>
    <n v="86884"/>
    <n v="94687"/>
    <n v="12"/>
    <n v="6624.2211749999997"/>
    <n v="3.1080634821966237E-3"/>
    <n v="3.7499999999999999E-2"/>
    <n v="552.01843124999994"/>
    <n v="64.339062287534716"/>
    <n v="0.91759164404828542"/>
    <n v="76.24212944846002"/>
  </r>
  <r>
    <s v="Online Behavior&gt;United States&gt;Beauty and Fitness&gt;Fitness ¬ª Yoga and Pilates"/>
    <x v="0"/>
    <x v="3"/>
    <s v="New York City, New York"/>
    <s v="New York"/>
    <s v="fandomwire.com"/>
    <s v="PubMatic"/>
    <x v="0"/>
    <n v="95644"/>
    <n v="240"/>
    <n v="13294"/>
    <n v="86775"/>
    <n v="9"/>
    <n v="5587.7636750000001"/>
    <n v="2.5093053406381998E-3"/>
    <n v="3.7499999999999999E-2"/>
    <n v="620.8626305555556"/>
    <n v="58.422521799590143"/>
    <n v="0.15320080668395275"/>
    <n v="420.32222619226718"/>
  </r>
  <r>
    <s v="Online Behavior&gt;United States&gt;Travel&gt;Cruises and Charters"/>
    <x v="0"/>
    <x v="2"/>
    <s v="Los Angeles, California"/>
    <s v="California"/>
    <s v="ebay.com"/>
    <s v="Magnite DV+"/>
    <x v="2"/>
    <n v="161222"/>
    <n v="500"/>
    <n v="66740"/>
    <n v="149743"/>
    <n v="19"/>
    <n v="5767.7973810000003"/>
    <n v="3.1013137164903051E-3"/>
    <n v="3.7999999999999999E-2"/>
    <n v="303.56828321052632"/>
    <n v="35.775498263264318"/>
    <n v="0.44569696079282506"/>
    <n v="86.421896628708424"/>
  </r>
  <r>
    <s v="US ¬ª Home and Garden Interests ¬ª House and Garden Merchandise Buyers"/>
    <x v="0"/>
    <x v="0"/>
    <s v="Jacksonville, Florida"/>
    <s v="Florida"/>
    <s v="mail.aol.com"/>
    <s v="Index Exchange"/>
    <x v="1"/>
    <n v="15033"/>
    <n v="76"/>
    <n v="5495"/>
    <n v="7050"/>
    <n v="3"/>
    <n v="1650.7230099999999"/>
    <n v="5.0555444688352288E-3"/>
    <n v="3.9473684210526314E-2"/>
    <n v="550.24100333333331"/>
    <n v="109.80662608927027"/>
    <n v="0.77943262411347514"/>
    <n v="300.40455141037307"/>
  </r>
  <r>
    <s v="Online Behavior&gt;United States&gt;Autos and Vehicles ¬ª Brands&gt;Maybach"/>
    <x v="1"/>
    <x v="1"/>
    <s v="Miami-Ft. Lauderdale, Florida"/>
    <s v="Florida"/>
    <s v="insidethemagic.net"/>
    <s v="Magnite DV+"/>
    <x v="1"/>
    <n v="23941"/>
    <n v="150"/>
    <n v="13054"/>
    <n v="22276"/>
    <n v="6"/>
    <n v="2856.1654250000001"/>
    <n v="6.2654024476838897E-3"/>
    <n v="0.04"/>
    <n v="476.02757083333336"/>
    <n v="119.30017229856732"/>
    <n v="0.58601185131980604"/>
    <n v="218.79618699249275"/>
  </r>
  <r>
    <s v="US ¬ª Reach ¬ª Propensity Models ¬ª Lifestyle ¬ª Charities ¬ª Contributes to Charities"/>
    <x v="1"/>
    <x v="3"/>
    <s v="Chicago, Illinois"/>
    <s v="Illinois"/>
    <s v="commercialappeal.com"/>
    <s v="Google Ad Manager"/>
    <x v="1"/>
    <n v="10191"/>
    <n v="75"/>
    <n v="1243"/>
    <n v="8897"/>
    <n v="3"/>
    <n v="2365.9143720000002"/>
    <n v="7.3594347954077126E-3"/>
    <n v="0.04"/>
    <n v="788.63812400000006"/>
    <n v="232.1572340300265"/>
    <n v="0.13971001461166685"/>
    <n v="1903.3904843121479"/>
  </r>
  <r>
    <s v="Online Behavior&gt;United States&gt;Intent ¬ª Auto Buyers ¬ª Car Make&gt;Jeep"/>
    <x v="0"/>
    <x v="1"/>
    <s v="New York City, New York"/>
    <s v="New York"/>
    <s v="weather.com"/>
    <s v="Smart RTB+ (Smartadserver)"/>
    <x v="0"/>
    <n v="96779"/>
    <n v="299"/>
    <n v="9831"/>
    <n v="63640"/>
    <n v="12"/>
    <n v="6317.5107539999999"/>
    <n v="3.0895132208433648E-3"/>
    <n v="4.0133779264214048E-2"/>
    <n v="526.45922949999999"/>
    <n v="65.277702332117499"/>
    <n v="0.15447831552482716"/>
    <n v="642.61120476045164"/>
  </r>
  <r>
    <s v="Online Behavior&gt;United States&gt;Home and Garden&gt;Home Improvement"/>
    <x v="1"/>
    <x v="3"/>
    <s v="New York City, New York"/>
    <s v="New York"/>
    <s v="finance.yahoo.com"/>
    <s v="Magnite DV+"/>
    <x v="1"/>
    <n v="76049"/>
    <n v="199"/>
    <n v="34921"/>
    <n v="69138"/>
    <n v="8"/>
    <n v="6942.8004579999997"/>
    <n v="2.6167339478494127E-3"/>
    <n v="4.0201005025125629E-2"/>
    <n v="867.85005724999996"/>
    <n v="91.29377714368367"/>
    <n v="0.50509126674187854"/>
    <n v="198.81448005498123"/>
  </r>
  <r>
    <s v="US ¬ª B2B ¬ª B2B Decision Maker Responsibilities ¬ª Security Services"/>
    <x v="1"/>
    <x v="0"/>
    <s v="Nashville, Tennessee"/>
    <s v="Tennessee"/>
    <s v="slickdeals.net"/>
    <s v="PubMatic"/>
    <x v="1"/>
    <n v="12488"/>
    <n v="99"/>
    <n v="4021"/>
    <n v="11403"/>
    <n v="4"/>
    <n v="2176.6574690000002"/>
    <n v="7.9276105060858432E-3"/>
    <n v="4.0404040404040407E-2"/>
    <n v="544.16436725000005"/>
    <n v="174.29992544843051"/>
    <n v="0.3526265017977725"/>
    <n v="541.32242452126343"/>
  </r>
  <r>
    <s v="US ¬ª Reach ¬ª Propensity Models ¬ª Hobbies and Interest ¬ª Photography"/>
    <x v="0"/>
    <x v="2"/>
    <s v="Los Angeles, California"/>
    <s v="California"/>
    <s v="boattrader.com"/>
    <s v="BidSwitch"/>
    <x v="1"/>
    <n v="20278"/>
    <n v="74"/>
    <n v="14227"/>
    <n v="19480"/>
    <n v="3"/>
    <n v="2921.1102070000002"/>
    <n v="3.6492750764375186E-3"/>
    <n v="4.0540540540540543E-2"/>
    <n v="973.70340233333343"/>
    <n v="144.05317126935597"/>
    <n v="0.73033880903490755"/>
    <n v="205.32158620932034"/>
  </r>
  <r>
    <s v="Lotame ¬ª Travel ¬ª Thanksgiving Travel"/>
    <x v="1"/>
    <x v="2"/>
    <s v="Cincinnati, Ohio"/>
    <s v="Ohio"/>
    <s v="weather.com"/>
    <s v="Google Ad Manager"/>
    <x v="1"/>
    <n v="36543"/>
    <n v="147"/>
    <n v="18046"/>
    <n v="27358"/>
    <n v="6"/>
    <n v="1513.0887279999999"/>
    <n v="4.022658238239882E-3"/>
    <n v="4.0816326530612242E-2"/>
    <n v="252.18145466666667"/>
    <n v="41.405706373313627"/>
    <n v="0.65962424153812416"/>
    <n v="83.846211237947458"/>
  </r>
  <r>
    <s v="Mobile - US ¬ª Demographics ¬ª Finance ¬ª Rent Value ¬ª Highest Rent Value"/>
    <x v="0"/>
    <x v="0"/>
    <s v="Grand Rapids-Kalamazoo, Michigan"/>
    <s v="Michigan"/>
    <s v="omnicalculator.com"/>
    <s v="Google Ad Manager"/>
    <x v="1"/>
    <n v="11214"/>
    <n v="49"/>
    <n v="5523"/>
    <n v="10267"/>
    <n v="2"/>
    <n v="1554.3892149999999"/>
    <n v="4.3695380774032462E-3"/>
    <n v="4.0816326530612242E-2"/>
    <n v="777.19460749999996"/>
    <n v="138.61148698055999"/>
    <n v="0.53793707996493623"/>
    <n v="281.43929295672638"/>
  </r>
  <r>
    <s v="US ¬ª Sociodemographic ¬ª PRIZM Premier Social ¬ª T2 Country Comfort"/>
    <x v="1"/>
    <x v="0"/>
    <s v="New York City, New York"/>
    <s v="New York"/>
    <s v="foxnews.com"/>
    <s v="PulsePoint"/>
    <x v="1"/>
    <n v="34959"/>
    <n v="122"/>
    <n v="17511"/>
    <n v="31974"/>
    <n v="5"/>
    <n v="1477.4933570000001"/>
    <n v="3.4898023398838639E-3"/>
    <n v="4.0983606557377046E-2"/>
    <n v="295.49867140000003"/>
    <n v="42.263604708372661"/>
    <n v="0.54766372677800712"/>
    <n v="84.375156016218384"/>
  </r>
  <r>
    <s v="Media and Entertainment ¬ª Music"/>
    <x v="0"/>
    <x v="3"/>
    <s v="New York City, New York"/>
    <s v="New York"/>
    <s v="cnn.com"/>
    <s v="Yahoo Exchange"/>
    <x v="1"/>
    <n v="45402"/>
    <n v="122"/>
    <n v="17284"/>
    <n v="27542"/>
    <n v="5"/>
    <n v="2163.2653460000001"/>
    <n v="2.6871062948768776E-3"/>
    <n v="4.0983606557377046E-2"/>
    <n v="432.6530692"/>
    <n v="47.646917448570548"/>
    <n v="0.62755064991649123"/>
    <n v="125.15999456144411"/>
  </r>
  <r>
    <s v="Online Behavior&gt;United States&gt;Validated Demographic ¬ª Age&gt;25-34"/>
    <x v="1"/>
    <x v="3"/>
    <s v="Panama City, Florida"/>
    <s v="Florida"/>
    <s v="lotterypost.com"/>
    <s v="OpenX"/>
    <x v="1"/>
    <n v="190592"/>
    <n v="601"/>
    <n v="28906"/>
    <n v="172515"/>
    <n v="25"/>
    <n v="4742.0477659999997"/>
    <n v="3.1533327736736065E-3"/>
    <n v="4.1597337770382693E-2"/>
    <n v="189.68191063999998"/>
    <n v="24.880623352501676"/>
    <n v="0.16755644436715647"/>
    <n v="164.05063882930878"/>
  </r>
  <r>
    <s v="OnAudience ¬ª Interest ¬ª Games"/>
    <x v="1"/>
    <x v="2"/>
    <s v="Los Angeles, California"/>
    <s v="California"/>
    <s v="gamespot.com"/>
    <s v="BidSwitch"/>
    <x v="1"/>
    <n v="13779"/>
    <n v="96"/>
    <n v="3482"/>
    <n v="12487"/>
    <n v="4"/>
    <n v="1530.041892"/>
    <n v="6.9671238841715654E-3"/>
    <n v="4.1666666666666664E-2"/>
    <n v="382.51047299999999"/>
    <n v="111.04157718266927"/>
    <n v="0.27885000400416432"/>
    <n v="439.41467317633544"/>
  </r>
  <r>
    <s v="Online Behavior&gt;United States&gt;Home and Garden&gt;Kitchen and Dining"/>
    <x v="0"/>
    <x v="0"/>
    <s v="Grand Rapids-Kalamazoo, Michigan"/>
    <s v="Michigan"/>
    <s v="poshland.com"/>
    <s v="Index Exchange"/>
    <x v="2"/>
    <n v="123430"/>
    <n v="360"/>
    <n v="45294"/>
    <n v="77646"/>
    <n v="15"/>
    <n v="6808.5625840000002"/>
    <n v="2.9166329093413272E-3"/>
    <n v="4.1666666666666664E-2"/>
    <n v="453.90417226666671"/>
    <n v="55.161326938345617"/>
    <n v="0.58333977281508387"/>
    <n v="150.31930463196008"/>
  </r>
  <r>
    <s v="Online Behavior&gt;United States&gt;Law and Government&gt;Government"/>
    <x v="0"/>
    <x v="1"/>
    <s v="Chicago, Illinois"/>
    <s v="Illinois"/>
    <s v="slickdeals.net"/>
    <s v="OpenX"/>
    <x v="0"/>
    <n v="18537"/>
    <n v="95"/>
    <n v="6473"/>
    <n v="17081"/>
    <n v="4"/>
    <n v="5206.2389679999997"/>
    <n v="5.1248853644063229E-3"/>
    <n v="4.2105263157894736E-2"/>
    <n v="1301.5597419999999"/>
    <n v="280.85660937584288"/>
    <n v="0.37895907733739242"/>
    <n v="804.30078294453881"/>
  </r>
  <r>
    <s v="Online Behavior&gt;United States&gt;Finance ¬ª Insurance&gt;Home Insurance"/>
    <x v="0"/>
    <x v="1"/>
    <s v="West Palm Beach-Ft. Pierce, Florida"/>
    <s v="Florida"/>
    <s v="bbc.com"/>
    <s v="Google Ad Manager"/>
    <x v="1"/>
    <n v="53464"/>
    <n v="212"/>
    <n v="22151"/>
    <n v="49058"/>
    <n v="9"/>
    <n v="5741.0980449999997"/>
    <n v="3.9652850516235221E-3"/>
    <n v="4.2452830188679243E-2"/>
    <n v="637.89978277777777"/>
    <n v="107.38250121577136"/>
    <n v="0.45152676423824861"/>
    <n v="259.18008419484448"/>
  </r>
  <r>
    <s v="Online Behavior&gt;United States&gt;Beauty and Fitness&gt;Face and Body Care ¬ª Hygiene and Toiletries"/>
    <x v="0"/>
    <x v="2"/>
    <s v="Chicago, Illinois"/>
    <s v="Illinois"/>
    <s v="the-sun.com"/>
    <s v="OpenX"/>
    <x v="1"/>
    <n v="247106"/>
    <n v="750"/>
    <n v="159618"/>
    <n v="233150"/>
    <n v="32"/>
    <n v="7629.94427"/>
    <n v="3.0351347195130833E-3"/>
    <n v="4.2666666666666665E-2"/>
    <n v="238.4357584375"/>
    <n v="30.877211682435878"/>
    <n v="0.68461505468582462"/>
    <n v="47.801277236903104"/>
  </r>
  <r>
    <s v="Online Behavior&gt;United States&gt;Internet and Telecom&gt;Web Portals"/>
    <x v="1"/>
    <x v="3"/>
    <s v="Lansing, Michigan"/>
    <s v="Michigan"/>
    <s v="weather.com"/>
    <s v="Google Ad Manager"/>
    <x v="1"/>
    <n v="96508"/>
    <n v="351"/>
    <n v="47065"/>
    <n v="73640"/>
    <n v="15"/>
    <n v="5310.7695720000002"/>
    <n v="3.6370041861814566E-3"/>
    <n v="4.2735042735042736E-2"/>
    <n v="354.05130480000003"/>
    <n v="55.029319559000292"/>
    <n v="0.6391227593699077"/>
    <n v="112.83904328056941"/>
  </r>
  <r>
    <s v="Mobile - US ¬ª Device Ownership ¬ª Smartphones ¬ª iOS (Apple) ¬ª yes"/>
    <x v="1"/>
    <x v="2"/>
    <s v="Jacksonville, Florida"/>
    <s v="Florida"/>
    <s v="people.com"/>
    <s v="Yieldmo"/>
    <x v="1"/>
    <n v="22175"/>
    <n v="140"/>
    <n v="14910"/>
    <n v="20074"/>
    <n v="6"/>
    <n v="1909.2774830000001"/>
    <n v="6.3134160090191661E-3"/>
    <n v="4.2857142857142858E-2"/>
    <n v="318.21291383333335"/>
    <n v="86.100450191657274"/>
    <n v="0.74275181827239212"/>
    <n v="128.0534864520456"/>
  </r>
  <r>
    <s v="Online Behavior&gt;United States&gt;News&gt;Technology News"/>
    <x v="2"/>
    <x v="3"/>
    <s v="Miami-Ft. Lauderdale, Florida"/>
    <s v="Florida"/>
    <s v="femanin.com"/>
    <s v="BidSwitch"/>
    <x v="1"/>
    <n v="115412"/>
    <n v="490"/>
    <n v="71564"/>
    <n v="81785"/>
    <n v="21"/>
    <n v="6861.5363799999996"/>
    <n v="4.2456590302568193E-3"/>
    <n v="4.2857142857142858E-2"/>
    <n v="326.73982761904762"/>
    <n v="59.452538557515673"/>
    <n v="0.8750259827596748"/>
    <n v="95.879721368285729"/>
  </r>
  <r>
    <s v="US ¬ª Home Renovation ¬ª Home Renovators"/>
    <x v="0"/>
    <x v="2"/>
    <s v="Chicago, Illinois"/>
    <s v="Illinois"/>
    <s v="thesaltymarshmallow.com"/>
    <s v="Google Ad Manager"/>
    <x v="1"/>
    <n v="15547"/>
    <n v="70"/>
    <n v="7615"/>
    <n v="14939"/>
    <n v="3"/>
    <n v="1767.4644559999999"/>
    <n v="4.5024763619990991E-3"/>
    <n v="4.2857142857142858E-2"/>
    <n v="589.15481866666664"/>
    <n v="113.68524191162281"/>
    <n v="0.50973960773813509"/>
    <n v="232.10301457649376"/>
  </r>
  <r>
    <s v="Online Behavior&gt;United States&gt;Sports&gt;Individual Sports ¬ª Golf"/>
    <x v="0"/>
    <x v="1"/>
    <s v="Miami-Ft. Lauderdale, Florida"/>
    <s v="Florida"/>
    <s v="realtor.com"/>
    <s v="Index Exchange"/>
    <x v="1"/>
    <n v="69928"/>
    <n v="210"/>
    <n v="30196"/>
    <n v="62327"/>
    <n v="9"/>
    <n v="6318.4130850000001"/>
    <n v="3.0030888914311864E-3"/>
    <n v="4.2857142857142858E-2"/>
    <n v="702.0458983333333"/>
    <n v="90.35598165255692"/>
    <n v="0.48447703242575446"/>
    <n v="209.24669111802888"/>
  </r>
  <r>
    <s v="OnAudience ¬ª Interest"/>
    <x v="0"/>
    <x v="1"/>
    <s v="New York City, New York"/>
    <s v="New York"/>
    <s v="tomsguide.com"/>
    <s v="Magnite DV+"/>
    <x v="1"/>
    <n v="11343"/>
    <n v="69"/>
    <n v="5900"/>
    <n v="10175"/>
    <n v="3"/>
    <n v="2178.1537750000002"/>
    <n v="6.0830468130124308E-3"/>
    <n v="4.3478260869565216E-2"/>
    <n v="726.05125833333341"/>
    <n v="192.02625187340212"/>
    <n v="0.57985257985257987"/>
    <n v="369.17860593220342"/>
  </r>
  <r>
    <s v="Online Behavior&gt;United States&gt;Autos and Vehicles&gt;Vehicle Shopping ¬ª Fuel Economy and Gas Prices"/>
    <x v="1"/>
    <x v="1"/>
    <s v="New York City, New York"/>
    <s v="New York"/>
    <s v="nbcnews.com"/>
    <s v="Google Ad Manager"/>
    <x v="1"/>
    <n v="92764"/>
    <n v="320"/>
    <n v="19625"/>
    <n v="76531"/>
    <n v="14"/>
    <n v="6730.012549"/>
    <n v="3.4496140744254234E-3"/>
    <n v="4.3749999999999997E-2"/>
    <n v="480.71518207142856"/>
    <n v="72.549831281531638"/>
    <n v="0.25643203407769399"/>
    <n v="342.93057574522294"/>
  </r>
  <r>
    <s v="Online Behavior&gt;United States&gt;Intent ¬ª Shopping&gt;Office Supplies"/>
    <x v="1"/>
    <x v="0"/>
    <s v="New York City, New York"/>
    <s v="New York"/>
    <s v="kbb.com"/>
    <s v="Magnite DV+"/>
    <x v="1"/>
    <n v="96728"/>
    <n v="341"/>
    <n v="69700"/>
    <n v="91910"/>
    <n v="15"/>
    <n v="6587.2433309999997"/>
    <n v="3.5253494334629063E-3"/>
    <n v="4.398826979472141E-2"/>
    <n v="439.1495554"/>
    <n v="68.100687815317173"/>
    <n v="0.75835056033075832"/>
    <n v="94.508512639885211"/>
  </r>
  <r>
    <s v="US ¬ª Reach ¬ª Propensity Models ¬ª Online ¬ª Pets"/>
    <x v="1"/>
    <x v="0"/>
    <s v="Los Angeles, California"/>
    <s v="California"/>
    <s v="weather.com"/>
    <s v="Google Ad Manager"/>
    <x v="1"/>
    <n v="68008"/>
    <n v="204"/>
    <n v="2996"/>
    <n v="49686"/>
    <n v="9"/>
    <n v="1923.808141"/>
    <n v="2.9996471003411363E-3"/>
    <n v="4.4117647058823532E-2"/>
    <n v="213.7564601111111"/>
    <n v="28.287968194918246"/>
    <n v="6.0298675683291066E-2"/>
    <n v="642.12554773030706"/>
  </r>
  <r>
    <s v="Online Behavior&gt;United States&gt;Autos and Vehicles ¬ª Brands&gt;Honda"/>
    <x v="1"/>
    <x v="3"/>
    <s v="Peoria-Bloomington, Illinois"/>
    <s v="Illinois"/>
    <s v="microsoftcasualgames.com"/>
    <s v="PubMatic"/>
    <x v="1"/>
    <n v="90463"/>
    <n v="204"/>
    <n v="803"/>
    <n v="2465"/>
    <n v="9"/>
    <n v="6120.6025140000002"/>
    <n v="2.2550656069332212E-3"/>
    <n v="4.4117647058823532E-2"/>
    <n v="680.06694600000003"/>
    <n v="67.658628544266719"/>
    <n v="0.32576064908722108"/>
    <n v="7622.1700049813207"/>
  </r>
  <r>
    <s v="Online Behavior&gt;United States&gt;Autos and Vehicles ¬ª Brands&gt;Mercedes-Benz"/>
    <x v="1"/>
    <x v="0"/>
    <s v="Nashville, Tennessee"/>
    <s v="Tennessee"/>
    <s v="accuweather.com"/>
    <s v="PubMatic"/>
    <x v="1"/>
    <n v="23965"/>
    <n v="270"/>
    <n v="13608"/>
    <n v="21704"/>
    <n v="12"/>
    <n v="5706.8644169999998"/>
    <n v="1.1266430210723972E-2"/>
    <n v="4.4444444444444446E-2"/>
    <n v="475.57203475"/>
    <n v="238.13329509701649"/>
    <n v="0.62698120162182092"/>
    <n v="419.37569201940033"/>
  </r>
  <r>
    <s v="US ¬ª Reach ¬ª Propensity Models ¬ª Hobbies and Interest ¬ª Sports ¬ª NBA Enthusiast"/>
    <x v="1"/>
    <x v="3"/>
    <s v="New York City, New York"/>
    <s v="New York"/>
    <s v="jdpower.com"/>
    <s v="OpenX"/>
    <x v="1"/>
    <n v="21482"/>
    <n v="67"/>
    <n v="10473"/>
    <n v="19679"/>
    <n v="3"/>
    <n v="3563.098841"/>
    <n v="3.1188902336840144E-3"/>
    <n v="4.4776119402985072E-2"/>
    <n v="1187.6996136666667"/>
    <n v="165.86439069919001"/>
    <n v="0.53219167640632148"/>
    <n v="340.21759199847224"/>
  </r>
  <r>
    <s v="Online Behavior&gt;United States&gt;Food and Drink&gt;Beverages ¬ª Coffee and Tea"/>
    <x v="1"/>
    <x v="0"/>
    <s v="Tampa-St Petersburg (Sarasota), Florida"/>
    <s v="Florida"/>
    <s v="foxnews.com"/>
    <s v="BidSwitch"/>
    <x v="1"/>
    <n v="63794"/>
    <n v="200"/>
    <n v="46557"/>
    <n v="60868"/>
    <n v="9"/>
    <n v="6832.9400670000005"/>
    <n v="3.1350910743957114E-3"/>
    <n v="4.4999999999999998E-2"/>
    <n v="759.21556300000009"/>
    <n v="107.10944707966267"/>
    <n v="0.76488466846290337"/>
    <n v="146.7650421418906"/>
  </r>
  <r>
    <s v="Online Behavior&gt;United States&gt;Travel&gt;Hotels and Accommodations"/>
    <x v="0"/>
    <x v="2"/>
    <s v="San Francisco, California"/>
    <s v="California"/>
    <s v="outlook.live.com"/>
    <s v="Google Ad Manager"/>
    <x v="1"/>
    <n v="75531"/>
    <n v="200"/>
    <n v="63816"/>
    <n v="70011"/>
    <n v="9"/>
    <n v="7261.8650399999997"/>
    <n v="2.6479193973335453E-3"/>
    <n v="4.4999999999999998E-2"/>
    <n v="806.87389333333329"/>
    <n v="96.144166501171696"/>
    <n v="0.91151390495779239"/>
    <n v="113.79379842045881"/>
  </r>
  <r>
    <s v="Online Behavior&gt;United States&gt;Hobbies and Leisure&gt;Contests, Awards and Prizes"/>
    <x v="0"/>
    <x v="0"/>
    <s v="Los Angeles, California"/>
    <s v="California"/>
    <s v="geeksforgeeks.org"/>
    <s v="BidSwitch"/>
    <x v="2"/>
    <n v="120902"/>
    <n v="333"/>
    <n v="9964"/>
    <n v="70015"/>
    <n v="15"/>
    <n v="4669.0136689999999"/>
    <n v="2.7542968685381549E-3"/>
    <n v="4.5045045045045043E-2"/>
    <n v="311.26757793333331"/>
    <n v="38.618167350416037"/>
    <n v="0.14231236163679212"/>
    <n v="468.58828472501"/>
  </r>
  <r>
    <s v="OnAudience ¬ª Interest ¬ª Personal Finance"/>
    <x v="1"/>
    <x v="0"/>
    <s v="Chicago, Illinois"/>
    <s v="Illinois"/>
    <s v="essentiallysports.com"/>
    <s v="Google Ad Manager"/>
    <x v="1"/>
    <n v="80408"/>
    <n v="199"/>
    <n v="13127"/>
    <n v="67027"/>
    <n v="9"/>
    <n v="1788.1116179999999"/>
    <n v="2.4748781215799421E-3"/>
    <n v="4.5226130653266333E-2"/>
    <n v="198.67906866666667"/>
    <n v="22.237981519251814"/>
    <n v="0.19584644993808464"/>
    <n v="136.21631888474138"/>
  </r>
  <r>
    <s v="Mobile - US ¬ª Sports ¬ª Water Sports ¬ª Boating"/>
    <x v="1"/>
    <x v="3"/>
    <s v="New York City, New York"/>
    <s v="New York"/>
    <s v="heraldweekly.com"/>
    <s v="Sharethrough"/>
    <x v="1"/>
    <n v="13655"/>
    <n v="66"/>
    <n v="9519"/>
    <n v="13041"/>
    <n v="3"/>
    <n v="1475.2451189999999"/>
    <n v="4.8333943610399119E-3"/>
    <n v="4.5454545454545456E-2"/>
    <n v="491.74837299999996"/>
    <n v="108.03699150494324"/>
    <n v="0.72992868645042563"/>
    <n v="154.97900189095492"/>
  </r>
  <r>
    <s v="US ¬ª B2B ¬ª B2B Decision Maker Responsibilities ¬ª Financial Services"/>
    <x v="0"/>
    <x v="2"/>
    <s v="New York City, New York"/>
    <s v="New York"/>
    <s v="androidpolice.com"/>
    <s v="Taboola"/>
    <x v="2"/>
    <n v="11668"/>
    <n v="110"/>
    <n v="7860"/>
    <n v="11009"/>
    <n v="5"/>
    <n v="2653.9815789999998"/>
    <n v="9.4274940006856354E-3"/>
    <n v="4.5454545454545456E-2"/>
    <n v="530.7963158"/>
    <n v="227.45814012684264"/>
    <n v="0.71396130438731942"/>
    <n v="337.65668944020354"/>
  </r>
  <r>
    <s v="Media and Entertainment ¬ª Consumer Entertainment Technology"/>
    <x v="0"/>
    <x v="2"/>
    <s v="New York City, New York"/>
    <s v="New York"/>
    <s v="editorsnation.com"/>
    <s v="Google Ad Manager"/>
    <x v="1"/>
    <n v="10942"/>
    <n v="66"/>
    <n v="4578"/>
    <n v="9155"/>
    <n v="3"/>
    <n v="1595.752624"/>
    <n v="6.0318040577590935E-3"/>
    <n v="4.5454545454545456E-2"/>
    <n v="531.91754133333336"/>
    <n v="145.83738110034727"/>
    <n v="0.50005461496450032"/>
    <n v="348.56981738750545"/>
  </r>
  <r>
    <s v="US ¬ª Reach ¬ª Propensity Models ¬ª Hobbies and Interest ¬ª Sports ¬ª NHL Enthusiast"/>
    <x v="0"/>
    <x v="2"/>
    <s v="New York City, New York"/>
    <s v="New York"/>
    <s v="realtor.com"/>
    <s v="Sovrn"/>
    <x v="1"/>
    <n v="114267"/>
    <n v="110"/>
    <n v="60964"/>
    <n v="108301"/>
    <n v="5"/>
    <n v="2679.1540679999998"/>
    <n v="9.6265763518776199E-4"/>
    <n v="4.5454545454545456E-2"/>
    <n v="535.83081359999994"/>
    <n v="23.446437449132294"/>
    <n v="0.56291262315214075"/>
    <n v="43.946494127681909"/>
  </r>
  <r>
    <s v="Online Behavior&gt;United States&gt;The Changing Consumer&gt;Direct to Consumer"/>
    <x v="1"/>
    <x v="1"/>
    <s v="Chicago, Illinois"/>
    <s v="Illinois"/>
    <s v="cheezburger.com"/>
    <s v="PubMatic"/>
    <x v="1"/>
    <n v="27032"/>
    <n v="110"/>
    <n v="21893"/>
    <n v="26127"/>
    <n v="5"/>
    <n v="5292.8969129999996"/>
    <n v="4.0692512577685707E-3"/>
    <n v="4.5454545454545456E-2"/>
    <n v="1058.5793825999999"/>
    <n v="195.8011583678603"/>
    <n v="0.83794542044628162"/>
    <n v="241.76206609418534"/>
  </r>
  <r>
    <s v="Online Behavior&gt;United States&gt;Autos and Vehicles ¬ª Brands&gt;Mini"/>
    <x v="1"/>
    <x v="0"/>
    <s v="Flint-Saginaw-Bay City, Michigan"/>
    <s v="Michigan"/>
    <s v="signupgenius.com"/>
    <s v="PubMatic"/>
    <x v="1"/>
    <n v="24100"/>
    <n v="110"/>
    <n v="11355"/>
    <n v="21740"/>
    <n v="5"/>
    <n v="5912.2609750000001"/>
    <n v="4.5643153526970957E-3"/>
    <n v="4.5454545454545456E-2"/>
    <n v="1182.4521950000001"/>
    <n v="245.32203215767635"/>
    <n v="0.5223091076356946"/>
    <n v="520.67467855570237"/>
  </r>
  <r>
    <s v="Online Behavior&gt;United States&gt;Intent ¬ª Shopping&gt;Consumer Electronics ¬ª Cameras and Photography Equip"/>
    <x v="0"/>
    <x v="1"/>
    <s v="Chicago, Illinois"/>
    <s v="Illinois"/>
    <s v="gameofglam.com"/>
    <s v="BidSwitch"/>
    <x v="1"/>
    <n v="11681"/>
    <n v="88"/>
    <n v="4713"/>
    <n v="8230"/>
    <n v="4"/>
    <n v="5216.6488790000003"/>
    <n v="7.533601575207602E-3"/>
    <n v="4.5454545454545456E-2"/>
    <n v="1304.1622197500001"/>
    <n v="446.59266150158385"/>
    <n v="0.5726609963547995"/>
    <n v="1106.863755357522"/>
  </r>
  <r>
    <s v="US ¬ª Sociodemographic ¬ª P$YCLE Premier Lifestage ¬ª F4 Working-Class USA"/>
    <x v="1"/>
    <x v="3"/>
    <s v="San Francisco, California"/>
    <s v="California"/>
    <s v="realtor.com"/>
    <s v="BidSwitch"/>
    <x v="1"/>
    <n v="64577"/>
    <n v="240"/>
    <n v="37732"/>
    <n v="60357"/>
    <n v="11"/>
    <n v="1801.3491309999999"/>
    <n v="3.7164934883937004E-3"/>
    <n v="4.583333333333333E-2"/>
    <n v="163.7590119090909"/>
    <n v="27.894592982021464"/>
    <n v="0.62514704176814617"/>
    <n v="47.740621514894521"/>
  </r>
  <r>
    <s v="US ¬ª Brand Propensities ¬ª Media and Entertainment ¬ª pokerstars.net Buyer Propensity"/>
    <x v="0"/>
    <x v="3"/>
    <s v="Chicago, Illinois"/>
    <s v="Illinois"/>
    <s v="yellowpages.com"/>
    <s v="Index Exchange"/>
    <x v="1"/>
    <n v="61227"/>
    <n v="174"/>
    <n v="10434"/>
    <n v="53104"/>
    <n v="8"/>
    <n v="1919.553678"/>
    <n v="2.8418834827772061E-3"/>
    <n v="4.5977011494252873E-2"/>
    <n v="239.94420975"/>
    <n v="31.351424665588713"/>
    <n v="0.19648237420909911"/>
    <n v="183.97102530189764"/>
  </r>
  <r>
    <s v="OnAudience ¬ª Interest ¬ª Sports"/>
    <x v="0"/>
    <x v="2"/>
    <s v="Chicago, Illinois"/>
    <s v="Illinois"/>
    <s v="femanin.com"/>
    <s v="Google Ad Manager"/>
    <x v="1"/>
    <n v="11375"/>
    <n v="87"/>
    <n v="7171"/>
    <n v="8151"/>
    <n v="4"/>
    <n v="1763.7840610000001"/>
    <n v="7.6483516483516487E-3"/>
    <n v="4.5977011494252873E-2"/>
    <n v="440.94601525000002"/>
    <n v="155.05793942857144"/>
    <n v="0.879769353453564"/>
    <n v="245.96068344721795"/>
  </r>
  <r>
    <s v="OnAudience ¬ª Interest ¬ª Technology &amp; Computing ¬ª Email"/>
    <x v="1"/>
    <x v="1"/>
    <s v="Jacksonville, Florida"/>
    <s v="Florida"/>
    <s v="sporcle.com"/>
    <s v="GumGum"/>
    <x v="1"/>
    <n v="16956"/>
    <n v="65"/>
    <n v="7553"/>
    <n v="15201"/>
    <n v="3"/>
    <n v="1502.6801390000001"/>
    <n v="3.833451285680585E-3"/>
    <n v="4.6153846153846156E-2"/>
    <n v="500.8933796666667"/>
    <n v="88.622324781788166"/>
    <n v="0.49687520557858034"/>
    <n v="198.95142843903085"/>
  </r>
  <r>
    <s v="Online Behavior&gt;United States&gt;Intent ¬ª Shopping&gt;Drug Stores ¬ª CVS"/>
    <x v="0"/>
    <x v="2"/>
    <s v="San Francisco, California"/>
    <s v="California"/>
    <s v="drugs.com"/>
    <s v="BidSwitch"/>
    <x v="1"/>
    <n v="11697"/>
    <n v="64"/>
    <n v="6761"/>
    <n v="10783"/>
    <n v="3"/>
    <n v="5218.0702309999997"/>
    <n v="5.4714884158331197E-3"/>
    <n v="4.6875E-2"/>
    <n v="1739.3567436666665"/>
    <n v="446.10329409250238"/>
    <n v="0.62700547157562836"/>
    <n v="771.78971024996292"/>
  </r>
  <r>
    <s v="Media and Entertainment ¬ª Sports and Recreational Activities ¬ª Interest (Affinity)"/>
    <x v="0"/>
    <x v="2"/>
    <s v="Chicago, Illinois"/>
    <s v="Illinois"/>
    <s v="cheapoair.com"/>
    <s v="Google Ad Manager"/>
    <x v="1"/>
    <n v="14581"/>
    <n v="85"/>
    <n v="6970"/>
    <n v="8882"/>
    <n v="4"/>
    <n v="2636.2021239999999"/>
    <n v="5.8295041492353065E-3"/>
    <n v="4.7058823529411764E-2"/>
    <n v="659.05053099999998"/>
    <n v="180.79707317742267"/>
    <n v="0.7847331682053591"/>
    <n v="378.22125164992826"/>
  </r>
  <r>
    <s v="Lotame ¬ª Style, Fashion &amp; Clothing"/>
    <x v="1"/>
    <x v="0"/>
    <s v="Tri-Cities, Tennessee-Virginia"/>
    <s v="Tennessee-Virginia"/>
    <s v="rvtrader.com"/>
    <s v="Google Ad Manager"/>
    <x v="1"/>
    <n v="13168"/>
    <n v="84"/>
    <n v="8527"/>
    <n v="12625"/>
    <n v="4"/>
    <n v="1639.72335"/>
    <n v="6.3791008505467801E-3"/>
    <n v="4.7619047619047616E-2"/>
    <n v="409.9308375"/>
    <n v="124.52334067436209"/>
    <n v="0.67540594059405945"/>
    <n v="192.29780110238067"/>
  </r>
  <r>
    <s v="US ¬ª Demographic ¬ª Family ¬ª Female Head of Household"/>
    <x v="0"/>
    <x v="0"/>
    <s v="Nashville, Tennessee"/>
    <s v="Tennessee"/>
    <s v="att.yahoo.com"/>
    <s v="Google Ad Manager"/>
    <x v="1"/>
    <n v="14984"/>
    <n v="63"/>
    <n v="9614"/>
    <n v="14086"/>
    <n v="3"/>
    <n v="1505.0096349999999"/>
    <n v="4.2044847837693538E-3"/>
    <n v="4.7619047619047616E-2"/>
    <n v="501.66987833333332"/>
    <n v="100.44111285371062"/>
    <n v="0.68252165270481324"/>
    <n v="156.54354431038067"/>
  </r>
  <r>
    <s v="Telecommunications and Mobile Tech ¬ª Mobile Devices and Connected Technology"/>
    <x v="0"/>
    <x v="0"/>
    <s v="Grand Rapids-Kalamazoo, Michigan"/>
    <s v="Michigan"/>
    <s v="realtor.com"/>
    <s v="PubMatic"/>
    <x v="2"/>
    <n v="11269"/>
    <n v="63"/>
    <n v="4992"/>
    <n v="10245"/>
    <n v="3"/>
    <n v="1576.38921"/>
    <n v="5.590558168426657E-3"/>
    <n v="4.7619047619047616E-2"/>
    <n v="525.46307000000002"/>
    <n v="139.88723134262136"/>
    <n v="0.48726207906295754"/>
    <n v="315.78309495192309"/>
  </r>
  <r>
    <s v="US ¬ª Interest Propensities ¬ª TV and Movies ¬ª Reality ¬ª Game Shows"/>
    <x v="0"/>
    <x v="3"/>
    <s v="Chicago, Illinois"/>
    <s v="Illinois"/>
    <s v="nbcsports.com"/>
    <s v="Index Exchange"/>
    <x v="1"/>
    <n v="15047"/>
    <n v="84"/>
    <n v="5653"/>
    <n v="14459"/>
    <n v="4"/>
    <n v="2127.495962"/>
    <n v="5.5825081411577061E-3"/>
    <n v="4.7619047619047616E-2"/>
    <n v="531.87399049999999"/>
    <n v="141.39004200172792"/>
    <n v="0.39096756345528738"/>
    <n v="376.34812701220585"/>
  </r>
  <r>
    <s v="US ¬ª Interest Propensities ¬ª Activities and Interests ¬ª National News"/>
    <x v="1"/>
    <x v="3"/>
    <s v="New York City, New York"/>
    <s v="New York"/>
    <s v="nbcnews.com"/>
    <s v="BidSwitch"/>
    <x v="1"/>
    <n v="20486"/>
    <n v="42"/>
    <n v="14583"/>
    <n v="19860"/>
    <n v="2"/>
    <n v="1718.513762"/>
    <n v="2.0501806111490775E-3"/>
    <n v="4.7619047619047616E-2"/>
    <n v="859.25688100000002"/>
    <n v="83.887228448696675"/>
    <n v="0.73429003021148032"/>
    <n v="117.84363724885141"/>
  </r>
  <r>
    <s v="US ¬ª AUTO ¬ª Primary Vehicle ¬ª Owned or Leased ¬ª Company Car"/>
    <x v="1"/>
    <x v="3"/>
    <s v="Hattiesburg-Laurel, Mississippi"/>
    <s v="Mississippi"/>
    <s v="onechicagocenter.com"/>
    <s v="Magnite DV+"/>
    <x v="1"/>
    <n v="19829"/>
    <n v="42"/>
    <n v="15071"/>
    <n v="19095"/>
    <n v="2"/>
    <n v="1952.4637729999999"/>
    <n v="2.1181098391245146E-3"/>
    <n v="4.7619047619047616E-2"/>
    <n v="976.23188649999997"/>
    <n v="98.465064955368391"/>
    <n v="0.78926420528934271"/>
    <n v="129.55104326189371"/>
  </r>
  <r>
    <s v="Media and Entertainment ¬ª Gaming ¬ª Interest (Affinity) ¬ª Video Games"/>
    <x v="1"/>
    <x v="0"/>
    <s v="Tallahassee, Florida-Thomasville, Georgia"/>
    <s v="Florida-Thomasville, Georgia"/>
    <s v="bleacherbreaker.com"/>
    <s v="OpenX"/>
    <x v="1"/>
    <n v="9078"/>
    <n v="21"/>
    <n v="4051"/>
    <n v="6215"/>
    <n v="1"/>
    <n v="1700.795736"/>
    <n v="2.313284864507601E-3"/>
    <n v="4.7619047619047616E-2"/>
    <n v="1700.795736"/>
    <n v="187.35357303370787"/>
    <n v="0.65181013676588895"/>
    <n v="419.84589879042215"/>
  </r>
  <r>
    <s v="OnAudience ¬ª Interest ¬ª Arts &amp; Entertainment ¬ª Music Lovers"/>
    <x v="0"/>
    <x v="1"/>
    <s v="West Palm Beach-Ft. Pierce, Florida"/>
    <s v="Florida"/>
    <s v="foxnews.com"/>
    <s v="OpenX"/>
    <x v="0"/>
    <n v="76724"/>
    <n v="187"/>
    <n v="43209"/>
    <n v="69530"/>
    <n v="9"/>
    <n v="1493.204528"/>
    <n v="2.4373077524633751E-3"/>
    <n v="4.8128342245989303E-2"/>
    <n v="165.91161422222223"/>
    <n v="19.462026588811845"/>
    <n v="0.621443981015389"/>
    <n v="34.557720104607832"/>
  </r>
  <r>
    <s v="Online Behavior&gt;United States&gt;Travel&gt;Tourist Destinations ¬ª Theme Parks"/>
    <x v="1"/>
    <x v="2"/>
    <s v="Los Angeles, California"/>
    <s v="California"/>
    <s v="zillow.com"/>
    <s v="Google Ad Manager"/>
    <x v="1"/>
    <n v="318269"/>
    <n v="914"/>
    <n v="33355"/>
    <n v="295405"/>
    <n v="44"/>
    <n v="7854.7319909999997"/>
    <n v="2.8717845596020978E-3"/>
    <n v="4.8140043763676151E-2"/>
    <n v="178.51663615909089"/>
    <n v="24.679538349635056"/>
    <n v="0.11291278075861952"/>
    <n v="235.48889195023233"/>
  </r>
  <r>
    <s v="OnAudience ¬ª Interest ¬ª Shopping"/>
    <x v="2"/>
    <x v="0"/>
    <s v="Ft. Myers-Naples, Florida"/>
    <s v="Florida"/>
    <s v="news.yahoo.com"/>
    <s v="Google Ad Manager"/>
    <x v="1"/>
    <n v="63415"/>
    <n v="185"/>
    <n v="28161"/>
    <n v="59169"/>
    <n v="9"/>
    <n v="1924.162675"/>
    <n v="2.9172908617834895E-3"/>
    <n v="4.8648648648648651E-2"/>
    <n v="213.79585277777778"/>
    <n v="30.34239020736419"/>
    <n v="0.47594179384474977"/>
    <n v="68.327214054898619"/>
  </r>
  <r>
    <s v="US ¬ª B2B ¬ª B2B Decision Maker Responsibilities ¬ª Office Supplies or Equipment"/>
    <x v="0"/>
    <x v="1"/>
    <s v="Los Angeles, California"/>
    <s v="California"/>
    <s v="ebay.com"/>
    <s v="Google Ad Manager"/>
    <x v="0"/>
    <n v="55692"/>
    <n v="184"/>
    <n v="3596"/>
    <n v="51209"/>
    <n v="9"/>
    <n v="1981.0502879999999"/>
    <n v="3.3038856568268333E-3"/>
    <n v="4.8913043478260872E-2"/>
    <n v="220.11669866666665"/>
    <n v="35.57154147812971"/>
    <n v="7.0222031283563441E-2"/>
    <n v="550.90386206896551"/>
  </r>
  <r>
    <s v="Online Behavior&gt;United States&gt;Finance ¬ª Credit and Lending&gt;Loans"/>
    <x v="0"/>
    <x v="0"/>
    <s v="Chicago, Illinois"/>
    <s v="Illinois"/>
    <s v="ebay.com"/>
    <s v="Google Ad Manager"/>
    <x v="1"/>
    <n v="1100942"/>
    <n v="2984"/>
    <n v="629973"/>
    <n v="1041225"/>
    <n v="147"/>
    <n v="7979.3485890000002"/>
    <n v="2.710406179435429E-3"/>
    <n v="4.92627345844504E-2"/>
    <n v="54.281282918367346"/>
    <n v="7.2477465561310224"/>
    <n v="0.60503061297990346"/>
    <n v="12.66617551704597"/>
  </r>
  <r>
    <s v="Travel and Tourism ¬ª Interest (Affinity) ¬ª Destinations ¬ª Africa"/>
    <x v="0"/>
    <x v="0"/>
    <s v="Miami-Ft. Lauderdale, Florida"/>
    <s v="Florida"/>
    <s v="weather.com"/>
    <s v="Smart RTB+ (Smartadserver)"/>
    <x v="1"/>
    <n v="253577"/>
    <n v="890"/>
    <n v="66972"/>
    <n v="191183"/>
    <n v="44"/>
    <n v="1493.074494"/>
    <n v="3.509782038591828E-3"/>
    <n v="4.9438202247191011E-2"/>
    <n v="33.933511227272724"/>
    <n v="5.8880517318211032"/>
    <n v="0.35030311272445774"/>
    <n v="22.294010840351191"/>
  </r>
  <r>
    <s v="Media Source ¬ª LBDigital ¬ª Open For Business B2B"/>
    <x v="1"/>
    <x v="2"/>
    <s v="Los Angeles, California"/>
    <s v="California"/>
    <s v="tomsguide.com"/>
    <s v="OpenX"/>
    <x v="1"/>
    <n v="21737"/>
    <n v="80"/>
    <n v="11206"/>
    <n v="19459"/>
    <n v="4"/>
    <n v="1521.576648"/>
    <n v="3.6803606753461841E-3"/>
    <n v="0.05"/>
    <n v="380.39416199999999"/>
    <n v="69.999385747803288"/>
    <n v="0.57587748599619715"/>
    <n v="135.7823173300018"/>
  </r>
  <r>
    <s v="OnAudience ¬ª Intent ¬ª Sporting Goods"/>
    <x v="0"/>
    <x v="2"/>
    <s v="Chicago, Illinois"/>
    <s v="Illinois"/>
    <s v="calculator.net"/>
    <s v="PubMatic"/>
    <x v="1"/>
    <n v="22004"/>
    <n v="80"/>
    <n v="18735"/>
    <n v="21127"/>
    <n v="4"/>
    <n v="1632.4727820000001"/>
    <n v="3.6357025995273585E-3"/>
    <n v="0.05"/>
    <n v="408.11819550000001"/>
    <n v="74.189819214688242"/>
    <n v="0.88677994982723529"/>
    <n v="87.134922978382718"/>
  </r>
  <r>
    <s v="Transactional ¬ª Q3 Gardening Shoppers"/>
    <x v="0"/>
    <x v="3"/>
    <s v="San Francisco, California"/>
    <s v="California"/>
    <s v="signupgenius.com"/>
    <s v="Google Ad Manager"/>
    <x v="1"/>
    <n v="14763"/>
    <n v="40"/>
    <n v="8955"/>
    <n v="13829"/>
    <n v="2"/>
    <n v="1531.9268850000001"/>
    <n v="2.70947639368692E-3"/>
    <n v="0.05"/>
    <n v="765.96344250000004"/>
    <n v="103.76799329404594"/>
    <n v="0.64755224528165445"/>
    <n v="171.06944556113902"/>
  </r>
  <r>
    <s v="US ¬ª Brand Propensities ¬ª Apparel ¬ª JCPenney Buyer Propensity"/>
    <x v="0"/>
    <x v="3"/>
    <s v="Los Angeles, California"/>
    <s v="California"/>
    <s v="greatschools.org"/>
    <s v="BidSwitch"/>
    <x v="2"/>
    <n v="12001"/>
    <n v="40"/>
    <n v="7173"/>
    <n v="11432"/>
    <n v="2"/>
    <n v="1659.9327129999999"/>
    <n v="3.333055578701775E-3"/>
    <n v="0.05"/>
    <n v="829.96635649999996"/>
    <n v="138.31619973335555"/>
    <n v="0.62744926522043387"/>
    <n v="231.41401268646311"/>
  </r>
  <r>
    <s v="US ¬ª Interest Propensities ¬ª Music ¬ª Country"/>
    <x v="0"/>
    <x v="3"/>
    <s v="Jacksonville, Florida"/>
    <s v="Florida"/>
    <s v="aol.com"/>
    <s v="Google Ad Manager"/>
    <x v="1"/>
    <n v="8716"/>
    <n v="40"/>
    <n v="6490"/>
    <n v="7862"/>
    <n v="2"/>
    <n v="2100.8201370000002"/>
    <n v="4.589261128958238E-3"/>
    <n v="0.05"/>
    <n v="1050.4100685000001"/>
    <n v="241.03030484167053"/>
    <n v="0.82548969727804633"/>
    <n v="323.70109969183363"/>
  </r>
  <r>
    <s v="US Financial ¬ª Credit Card Type ¬ª Credit Card Holder - Unknown Type"/>
    <x v="2"/>
    <x v="3"/>
    <s v="Savannah, Georgia"/>
    <s v="Georgia"/>
    <s v="fandom.com"/>
    <s v="Google Ad Manager"/>
    <x v="1"/>
    <n v="7394"/>
    <n v="20"/>
    <n v="3441"/>
    <n v="6663"/>
    <n v="1"/>
    <n v="1624.840774"/>
    <n v="2.7048958615093319E-3"/>
    <n v="0.05"/>
    <n v="1624.840774"/>
    <n v="219.75125426021097"/>
    <n v="0.51643403872129667"/>
    <n v="472.20016681197325"/>
  </r>
  <r>
    <s v="Online Behavior&gt;United States&gt;Beauty and Fitness&gt;Beauty Pageants"/>
    <x v="0"/>
    <x v="1"/>
    <s v="Chicago, Illinois"/>
    <s v="Illinois"/>
    <s v="yahoo.com"/>
    <s v="BidSwitch"/>
    <x v="2"/>
    <n v="7584"/>
    <n v="40"/>
    <n v="3093"/>
    <n v="6897"/>
    <n v="2"/>
    <n v="4467.0807580000001"/>
    <n v="5.2742616033755272E-3"/>
    <n v="0.05"/>
    <n v="2233.540379"/>
    <n v="589.01381302742618"/>
    <n v="0.44845585036972596"/>
    <n v="1444.2550139023604"/>
  </r>
  <r>
    <s v="Online Behavior&gt;United States&gt;Sports&gt;Motor Sports"/>
    <x v="1"/>
    <x v="2"/>
    <s v="South Bend-Elkhart, Indiana"/>
    <s v="Indiana"/>
    <s v="forbes.com"/>
    <s v="BidSwitch"/>
    <x v="1"/>
    <n v="8204"/>
    <n v="20"/>
    <n v="1348"/>
    <n v="7832"/>
    <n v="1"/>
    <n v="5973.3798919999999"/>
    <n v="2.4378352023403218E-3"/>
    <n v="0.05"/>
    <n v="5973.3798919999999"/>
    <n v="728.1057888834714"/>
    <n v="0.1721144024514811"/>
    <n v="4431.2907210682497"/>
  </r>
  <r>
    <s v="Online Behavior&gt;United States&gt;Autos and Vehicles ¬ª Brands&gt;Volvo"/>
    <x v="1"/>
    <x v="0"/>
    <s v="New York City, New York"/>
    <s v="New York"/>
    <s v="chocolatecoveredkatie.com"/>
    <s v="Google Ad Manager"/>
    <x v="1"/>
    <n v="7806"/>
    <n v="20"/>
    <n v="3150"/>
    <n v="7247"/>
    <n v="1"/>
    <n v="6162.3208329999998"/>
    <n v="2.5621316935690495E-3"/>
    <n v="0.05"/>
    <n v="6162.3208329999998"/>
    <n v="789.43387560850624"/>
    <n v="0.43466261901476472"/>
    <n v="1956.2923279365077"/>
  </r>
  <r>
    <s v="Online Behavior&gt;United States&gt;Intent ¬ª Auto Buyers ¬ª Category&gt;Caravan"/>
    <x v="0"/>
    <x v="3"/>
    <s v="Miami-Ft. Lauderdale, Florida"/>
    <s v="Florida"/>
    <s v="ranker.com"/>
    <s v="Google Ad Manager"/>
    <x v="1"/>
    <n v="8097"/>
    <n v="20"/>
    <n v="4942"/>
    <n v="6868"/>
    <n v="1"/>
    <n v="6177.4645449999998"/>
    <n v="2.4700506360380388E-3"/>
    <n v="0.05"/>
    <n v="6177.4645449999998"/>
    <n v="762.93251142398424"/>
    <n v="0.7195690157251019"/>
    <n v="1249.9928257790368"/>
  </r>
  <r>
    <s v="Online Behavior&gt;United States&gt;Autos and Vehicles ¬ª Brands&gt;Bugatti"/>
    <x v="1"/>
    <x v="1"/>
    <s v="Jacksonville, Florida"/>
    <s v="Florida"/>
    <s v="mobileposse.com"/>
    <s v="Google Ad Manager"/>
    <x v="1"/>
    <n v="98509"/>
    <n v="299"/>
    <n v="30688"/>
    <n v="109518"/>
    <n v="15"/>
    <n v="2059.2702939999999"/>
    <n v="3.0352556619192153E-3"/>
    <n v="5.016722408026756E-2"/>
    <n v="137.28468626666665"/>
    <n v="20.904387355470057"/>
    <n v="0.28020964590295661"/>
    <n v="67.103437630344104"/>
  </r>
  <r>
    <s v="US ¬ª Brand Propensities ¬ª Health ¬ª Beauty and Cosmetics ¬ª Bare Escentuals Buyer Propensity"/>
    <x v="0"/>
    <x v="3"/>
    <s v="Ft. Wayne, Indiana"/>
    <s v="Indiana"/>
    <s v="dailymail.co.uk/tvshowbiz"/>
    <s v="PubMatic"/>
    <x v="1"/>
    <n v="14922"/>
    <n v="99"/>
    <n v="10713"/>
    <n v="13992"/>
    <n v="5"/>
    <n v="1578.876432"/>
    <n v="6.6344993968636915E-3"/>
    <n v="5.0505050505050504E-2"/>
    <n v="315.77528640000003"/>
    <n v="105.80863369521512"/>
    <n v="0.76565180102915953"/>
    <n v="147.37948585830298"/>
  </r>
  <r>
    <s v="Online Behavior&gt;United States&gt;B2B ¬ª Occupation&gt;MechanicalEngineer"/>
    <x v="1"/>
    <x v="1"/>
    <s v="Orlando-Daytona Beach, Florida"/>
    <s v="Florida"/>
    <s v="bbc.com"/>
    <s v="Google Ad Manager"/>
    <x v="1"/>
    <n v="17752"/>
    <n v="98"/>
    <n v="5855"/>
    <n v="15753"/>
    <n v="5"/>
    <n v="2200.297094"/>
    <n v="5.5205047318611991E-3"/>
    <n v="5.1020408163265307E-2"/>
    <n v="440.0594188"/>
    <n v="123.94643386660658"/>
    <n v="0.37167523646289596"/>
    <n v="375.79796652433816"/>
  </r>
  <r>
    <s v="Online Behavior&gt;United States&gt;Finance ¬ª Credit and Lending&gt;Credit Cards"/>
    <x v="1"/>
    <x v="1"/>
    <s v="Nashville, Tennessee"/>
    <s v="Tennessee"/>
    <s v="outlook.live.com"/>
    <s v="Xandr - Monetize SSP (AppNexus)"/>
    <x v="1"/>
    <n v="183230"/>
    <n v="666"/>
    <n v="155260"/>
    <n v="169583"/>
    <n v="34"/>
    <n v="7863.469709"/>
    <n v="3.6347759646346125E-3"/>
    <n v="5.1051051051051052E-2"/>
    <n v="231.27852085294117"/>
    <n v="42.915841887245541"/>
    <n v="0.91553988312507739"/>
    <n v="50.647106202499032"/>
  </r>
  <r>
    <s v="Online Behavior&gt;United States&gt;The Changing Consumer&gt;Home Cooking"/>
    <x v="2"/>
    <x v="3"/>
    <s v="New York City, New York"/>
    <s v="New York"/>
    <s v="kbb.com"/>
    <s v="Google Ad Manager"/>
    <x v="1"/>
    <n v="58938"/>
    <n v="175"/>
    <n v="41861"/>
    <n v="55929"/>
    <n v="9"/>
    <n v="4881.1982690000004"/>
    <n v="2.9692218941938988E-3"/>
    <n v="5.1428571428571428E-2"/>
    <n v="542.35536322222231"/>
    <n v="82.819204401235197"/>
    <n v="0.74846680612919947"/>
    <n v="116.60491314110988"/>
  </r>
  <r>
    <s v="OnAudience ¬ª Interest ¬ª News ¬ª Local News"/>
    <x v="2"/>
    <x v="2"/>
    <s v="West Palm Beach-Ft. Pierce, Florida"/>
    <s v="Florida"/>
    <s v="foxnews.com"/>
    <s v="BidSwitch"/>
    <x v="1"/>
    <n v="69722"/>
    <n v="194"/>
    <n v="40640"/>
    <n v="64819"/>
    <n v="10"/>
    <n v="1667.6558950000001"/>
    <n v="2.7824789879808383E-3"/>
    <n v="5.1546391752577317E-2"/>
    <n v="166.7655895"/>
    <n v="23.918646840308657"/>
    <n v="0.62697665807864977"/>
    <n v="41.034839936023623"/>
  </r>
  <r>
    <s v="Online Behavior&gt;United States&gt;Travel&gt;Tourist Destinations ¬ª Mountain and Ski Resorts"/>
    <x v="1"/>
    <x v="0"/>
    <s v="West Palm Beach-Ft. Pierce, Florida"/>
    <s v="Florida"/>
    <s v="cbsnews.com"/>
    <s v="BidSwitch"/>
    <x v="1"/>
    <n v="35178"/>
    <n v="155"/>
    <n v="23374"/>
    <n v="33779"/>
    <n v="8"/>
    <n v="5738.8090890000003"/>
    <n v="4.406162942748309E-3"/>
    <n v="5.1612903225806452E-2"/>
    <n v="717.35113612500004"/>
    <n v="163.13630931263862"/>
    <n v="0.69196838272299355"/>
    <n v="245.52105283648501"/>
  </r>
  <r>
    <s v="Online Behavior&gt;United States&gt;Finance ¬ª Accounting and Auditing&gt;Bookkeeping"/>
    <x v="1"/>
    <x v="3"/>
    <s v="Jackson, Mississippi"/>
    <s v="Mississippi"/>
    <s v="kbb.com"/>
    <s v="BidSwitch"/>
    <x v="1"/>
    <n v="69523"/>
    <n v="174"/>
    <n v="48273"/>
    <n v="65800"/>
    <n v="9"/>
    <n v="2649.9978030000002"/>
    <n v="2.5027688678566805E-3"/>
    <n v="5.1724137931034482E-2"/>
    <n v="294.44420033333336"/>
    <n v="38.116850581821851"/>
    <n v="0.73363221884498475"/>
    <n v="54.896066186066754"/>
  </r>
  <r>
    <s v="OnAudience ¬ª Interest ¬ª Science ¬ª Weather"/>
    <x v="0"/>
    <x v="1"/>
    <s v="Orlando-Daytona Beach, Florida"/>
    <s v="Florida"/>
    <s v="omnicalculator.com"/>
    <s v="Magnite DV+"/>
    <x v="1"/>
    <n v="13823"/>
    <n v="58"/>
    <n v="10671"/>
    <n v="12937"/>
    <n v="3"/>
    <n v="1574.709734"/>
    <n v="4.1959053750994721E-3"/>
    <n v="5.1724137931034482E-2"/>
    <n v="524.90324466666664"/>
    <n v="113.91953512262171"/>
    <n v="0.82484347221148646"/>
    <n v="147.5690876206541"/>
  </r>
  <r>
    <s v="Online Behavior&gt;United States&gt;The Changing Consumer&gt;Streaming Services"/>
    <x v="1"/>
    <x v="1"/>
    <s v="Jacksonville, Florida"/>
    <s v="Florida"/>
    <s v="sports.yahoo.com"/>
    <s v="Google Ad Manager"/>
    <x v="1"/>
    <n v="9709"/>
    <n v="58"/>
    <n v="3339"/>
    <n v="7891"/>
    <n v="3"/>
    <n v="6994.0853530000004"/>
    <n v="5.9738387063549281E-3"/>
    <n v="5.1724137931034482E-2"/>
    <n v="2331.3617843333336"/>
    <n v="720.37134133278403"/>
    <n v="0.42314028640223039"/>
    <n v="2094.6646759508835"/>
  </r>
  <r>
    <s v="Lotame ¬ª Offline CPG Purchasers ¬ª Product Segment"/>
    <x v="0"/>
    <x v="0"/>
    <s v="New York City, New York"/>
    <s v="New York"/>
    <s v="mail.aol.com"/>
    <s v="Google Ad Manager"/>
    <x v="1"/>
    <n v="92806"/>
    <n v="212"/>
    <n v="67534"/>
    <n v="85013"/>
    <n v="11"/>
    <n v="1579.379602"/>
    <n v="2.2843350645432407E-3"/>
    <n v="5.1886792452830191E-2"/>
    <n v="143.57996381818182"/>
    <n v="17.018076439023339"/>
    <n v="0.79439615117687878"/>
    <n v="23.386436491248851"/>
  </r>
  <r>
    <s v="OnAudience ¬ª Intent ¬ª Sporting Goods ¬ª Team Sports"/>
    <x v="0"/>
    <x v="3"/>
    <s v="Charleston, South Carolina"/>
    <s v="South Carolina"/>
    <s v="cbssports.com"/>
    <s v="Magnite DV+"/>
    <x v="2"/>
    <n v="94340"/>
    <n v="250"/>
    <n v="16955"/>
    <n v="76971"/>
    <n v="13"/>
    <n v="1517.244377"/>
    <n v="2.6499894000424E-3"/>
    <n v="5.1999999999999998E-2"/>
    <n v="116.71110592307693"/>
    <n v="16.082726065295738"/>
    <n v="0.22027776695118942"/>
    <n v="89.486545384842231"/>
  </r>
  <r>
    <s v="US Buying Channel Preference ¬ª Online"/>
    <x v="1"/>
    <x v="2"/>
    <s v="Grand Rapids-Kalamazoo, Michigan"/>
    <s v="Michigan"/>
    <s v="travelerdreams.com"/>
    <s v="BidSwitch"/>
    <x v="1"/>
    <n v="10707"/>
    <n v="57"/>
    <n v="6300"/>
    <n v="10089"/>
    <n v="3"/>
    <n v="1603.8592639999999"/>
    <n v="5.3236200616419167E-3"/>
    <n v="5.2631578947368418E-2"/>
    <n v="534.61975466666661"/>
    <n v="149.79539217334454"/>
    <n v="0.62444246208742193"/>
    <n v="254.58083555555555"/>
  </r>
  <r>
    <s v="Online Behavior&gt;United States&gt;Finance ¬ª Insurance&gt;Insurance"/>
    <x v="1"/>
    <x v="2"/>
    <s v="Chicago, Illinois"/>
    <s v="Illinois"/>
    <s v="foxnews.com"/>
    <s v="Magnite DV+"/>
    <x v="1"/>
    <n v="122086"/>
    <n v="299"/>
    <n v="82898"/>
    <n v="116235"/>
    <n v="16"/>
    <n v="7663.6952940000001"/>
    <n v="2.4490932621266974E-3"/>
    <n v="5.3511705685618728E-2"/>
    <n v="478.98095587500001"/>
    <n v="62.772924774339401"/>
    <n v="0.71319310018497006"/>
    <n v="92.447288161354919"/>
  </r>
  <r>
    <s v="US Financial ¬ª Estimated Disposable Income ¬ª $0 - $99,999"/>
    <x v="0"/>
    <x v="0"/>
    <s v="Peoria-Bloomington, Illinois"/>
    <s v="Illinois"/>
    <s v="fandom.com"/>
    <s v="OpenX"/>
    <x v="0"/>
    <n v="21143"/>
    <n v="56"/>
    <n v="3798"/>
    <n v="19588"/>
    <n v="3"/>
    <n v="1500.41822"/>
    <n v="2.6486307524949157E-3"/>
    <n v="5.3571428571428568E-2"/>
    <n v="500.13940666666667"/>
    <n v="70.965247126708604"/>
    <n v="0.19389422095160302"/>
    <n v="395.05482359136386"/>
  </r>
  <r>
    <s v="Media and Entertainment ¬ª News and Current Events ¬ª Online News Websites"/>
    <x v="1"/>
    <x v="2"/>
    <s v="Grand Rapids-Kalamazoo, Michigan"/>
    <s v="Michigan"/>
    <s v="newsharper.com"/>
    <s v="TripleLift"/>
    <x v="1"/>
    <n v="16288"/>
    <n v="56"/>
    <n v="5304"/>
    <n v="10731"/>
    <n v="3"/>
    <n v="2030.142709"/>
    <n v="3.43811394891945E-3"/>
    <n v="5.3571428571428568E-2"/>
    <n v="676.71423633333336"/>
    <n v="124.64039225196463"/>
    <n v="0.49426894045289349"/>
    <n v="382.7569210030166"/>
  </r>
  <r>
    <s v="Online Behavior&gt;United States&gt;Finance ¬ª Financial Planning and Management&gt;Inheritance and Estate Planning"/>
    <x v="1"/>
    <x v="1"/>
    <s v="Chicago, Illinois"/>
    <s v="Illinois"/>
    <s v="investing.com"/>
    <s v="Index Exchange"/>
    <x v="1"/>
    <n v="115673"/>
    <n v="410"/>
    <n v="52475"/>
    <n v="97166"/>
    <n v="22"/>
    <n v="5045.9379300000001"/>
    <n v="3.5444745100412368E-3"/>
    <n v="5.3658536585365853E-2"/>
    <n v="229.360815"/>
    <n v="43.622435053988397"/>
    <n v="0.54005516332873638"/>
    <n v="96.158893377798947"/>
  </r>
  <r>
    <s v="US ¬ª Reach ¬ª Propensity Models ¬ª Hobbies and Interest ¬ª Food and Drinks ¬ª Eats at Fast Food Restaurants"/>
    <x v="0"/>
    <x v="0"/>
    <s v="New York City, New York"/>
    <s v="New York"/>
    <s v="bestbuy.com"/>
    <s v="BidSwitch"/>
    <x v="1"/>
    <n v="18458"/>
    <n v="111"/>
    <n v="3623"/>
    <n v="16934"/>
    <n v="6"/>
    <n v="2866.4966709999999"/>
    <n v="6.0136526167515443E-3"/>
    <n v="5.4054054054054057E-2"/>
    <n v="477.74944516666665"/>
    <n v="155.29833519341207"/>
    <n v="0.21394826975315934"/>
    <n v="791.19422329561144"/>
  </r>
  <r>
    <s v="Online Behavior&gt;United States&gt;Beauty and Fitness&gt;Face and Body Care ¬ª Skin and Nail Care"/>
    <x v="2"/>
    <x v="3"/>
    <s v="Los Angeles, California"/>
    <s v="California"/>
    <s v="apnews.com"/>
    <s v="BidSwitch"/>
    <x v="1"/>
    <n v="100800"/>
    <n v="185"/>
    <n v="14473"/>
    <n v="85424"/>
    <n v="10"/>
    <n v="7004.7304830000003"/>
    <n v="1.8353174603174603E-3"/>
    <n v="5.4054054054054057E-2"/>
    <n v="700.47304830000007"/>
    <n v="69.491373839285714"/>
    <n v="0.16942545420490729"/>
    <n v="483.98607634906375"/>
  </r>
  <r>
    <s v="Mobile - US ¬ª Device Ownership ¬ª Smartphones ¬ª iOS (Apple) ¬ª iPhone 11"/>
    <x v="1"/>
    <x v="3"/>
    <s v="New York City, New York"/>
    <s v="New York"/>
    <s v="finance.yahoo.com"/>
    <s v="Google Ad Manager"/>
    <x v="1"/>
    <n v="22163"/>
    <n v="55"/>
    <n v="2368"/>
    <n v="8130"/>
    <n v="3"/>
    <n v="1493.7793280000001"/>
    <n v="2.4816134999774398E-3"/>
    <n v="5.4545454545454543E-2"/>
    <n v="497.92644266666667"/>
    <n v="67.399689933673244"/>
    <n v="0.29126691266912669"/>
    <n v="630.81897297297292"/>
  </r>
  <r>
    <s v="OnAudience ¬ª Interest ¬ª Food &amp; Drink"/>
    <x v="0"/>
    <x v="3"/>
    <s v="Birmingham, Alabama"/>
    <s v="Alabama"/>
    <s v="w3schools.com"/>
    <s v="Google Ad Manager"/>
    <x v="0"/>
    <n v="38070"/>
    <n v="146"/>
    <n v="15253"/>
    <n v="35453"/>
    <n v="8"/>
    <n v="1653.510777"/>
    <n v="3.8350407144733386E-3"/>
    <n v="5.4794520547945202E-2"/>
    <n v="206.688847125"/>
    <n v="43.43343254531127"/>
    <n v="0.43023157419682395"/>
    <n v="108.4056105028519"/>
  </r>
  <r>
    <s v="Purchase-Based ¬ª Categories ¬ª Office Supplies Buyers"/>
    <x v="0"/>
    <x v="0"/>
    <s v="Chicago, Illinois"/>
    <s v="Illinois"/>
    <s v="weather.com"/>
    <s v="Sharethrough"/>
    <x v="1"/>
    <n v="12280"/>
    <n v="90"/>
    <n v="7633"/>
    <n v="11053"/>
    <n v="5"/>
    <n v="1452.207361"/>
    <n v="7.3289902280130291E-3"/>
    <n v="5.5555555555555552E-2"/>
    <n v="290.44147220000002"/>
    <n v="118.25792842019544"/>
    <n v="0.69058174251334481"/>
    <n v="190.25381383466527"/>
  </r>
  <r>
    <s v="US ¬ª Composite Segment ¬ª Women Born to Shop"/>
    <x v="1"/>
    <x v="0"/>
    <s v="San Francisco, California"/>
    <s v="California"/>
    <s v="drugs.com"/>
    <s v="Magnite DV+"/>
    <x v="1"/>
    <n v="12220"/>
    <n v="54"/>
    <n v="7133"/>
    <n v="11331"/>
    <n v="3"/>
    <n v="1478.392247"/>
    <n v="4.4189852700490997E-3"/>
    <n v="5.5555555555555552E-2"/>
    <n v="492.79741566666667"/>
    <n v="120.98136227495908"/>
    <n v="0.62951195834436502"/>
    <n v="207.26093466984437"/>
  </r>
  <r>
    <s v="US ¬ª Interest Propensities ¬ª Activities and Interests ¬ª Local News"/>
    <x v="1"/>
    <x v="1"/>
    <s v="Grand Rapids-Kalamazoo, Michigan"/>
    <s v="Michigan"/>
    <s v="activebeat.com"/>
    <s v="Magnite DV+"/>
    <x v="1"/>
    <n v="16151"/>
    <n v="54"/>
    <n v="4360"/>
    <n v="11358"/>
    <n v="3"/>
    <n v="1706.224318"/>
    <n v="3.3434462262398614E-3"/>
    <n v="5.5555555555555552E-2"/>
    <n v="568.74143933333335"/>
    <n v="105.64202328029225"/>
    <n v="0.38387039971826026"/>
    <n v="391.33585275229359"/>
  </r>
  <r>
    <s v="Online Behavior&gt;United States&gt;Food and Drink&gt;Cooking and Recipes"/>
    <x v="2"/>
    <x v="1"/>
    <s v="Chicago, Illinois"/>
    <s v="Illinois"/>
    <s v="weather.com"/>
    <s v="BidSwitch"/>
    <x v="1"/>
    <n v="40929"/>
    <n v="142"/>
    <n v="9249"/>
    <n v="31564"/>
    <n v="8"/>
    <n v="6764.5206369999996"/>
    <n v="3.4694226587505192E-3"/>
    <n v="5.6338028169014086E-2"/>
    <n v="845.56507962499995"/>
    <n v="165.27451530699503"/>
    <n v="0.29302369788366495"/>
    <n v="731.37859628067895"/>
  </r>
  <r>
    <s v="OnAudience ¬ª Intent ¬ª Auto ¬ª Vehicle Parts &amp; Accessories"/>
    <x v="1"/>
    <x v="0"/>
    <s v="Grand Rapids-Kalamazoo, Michigan"/>
    <s v="Michigan"/>
    <s v="ebay.com"/>
    <s v="BidSwitch"/>
    <x v="1"/>
    <n v="37269"/>
    <n v="106"/>
    <n v="11667"/>
    <n v="33260"/>
    <n v="6"/>
    <n v="1453.075462"/>
    <n v="2.8441868577101614E-3"/>
    <n v="5.6603773584905662E-2"/>
    <n v="242.17924366666668"/>
    <n v="38.988850304542652"/>
    <n v="0.35078171978352374"/>
    <n v="124.54576686380389"/>
  </r>
  <r>
    <s v="Media and Entertainment ¬ª Television (TV) ¬ª Viewership"/>
    <x v="0"/>
    <x v="1"/>
    <s v="New York City, New York"/>
    <s v="New York"/>
    <s v="womenshealthmag.com"/>
    <s v="BidSwitch"/>
    <x v="1"/>
    <n v="14693"/>
    <n v="70"/>
    <n v="6597"/>
    <n v="13508"/>
    <n v="4"/>
    <n v="2047.3489239999999"/>
    <n v="4.7641734159123393E-3"/>
    <n v="5.7142857142857141E-2"/>
    <n v="511.83723099999997"/>
    <n v="139.34179024025045"/>
    <n v="0.48837725792123188"/>
    <n v="310.34544853721388"/>
  </r>
  <r>
    <s v="Lotame ¬ª Style, Fashion &amp; Clothing ¬ª Men's Clothing Shoppers"/>
    <x v="1"/>
    <x v="1"/>
    <s v="Chicago, Illinois"/>
    <s v="Illinois"/>
    <s v="zone.msn.com"/>
    <s v="PubMatic"/>
    <x v="1"/>
    <n v="10903"/>
    <n v="35"/>
    <n v="3776"/>
    <n v="9581"/>
    <n v="2"/>
    <n v="1460.0097539999999"/>
    <n v="3.2101256534898654E-3"/>
    <n v="5.7142857142857141E-2"/>
    <n v="730.00487699999996"/>
    <n v="133.90899330459504"/>
    <n v="0.39411334933722991"/>
    <n v="386.65512552966101"/>
  </r>
  <r>
    <s v="US Financial ¬ª Likely Attitude and Behavior ¬ª Completely Disagree ¬ª When I Find A Financial Product/Service I Like I Typically Recommend It To People I Know (Financial)"/>
    <x v="0"/>
    <x v="0"/>
    <s v="New York City, New York"/>
    <s v="New York"/>
    <s v="webmd.com"/>
    <s v="Google Ad Manager"/>
    <x v="0"/>
    <n v="16175"/>
    <n v="35"/>
    <n v="1923"/>
    <n v="15085"/>
    <n v="2"/>
    <n v="1649.069475"/>
    <n v="2.1638330757341576E-3"/>
    <n v="5.7142857142857141E-2"/>
    <n v="824.53473750000001"/>
    <n v="101.95174497681607"/>
    <n v="0.1274776267815711"/>
    <n v="857.5504290171607"/>
  </r>
  <r>
    <s v="Media and Entertainment ¬ª Audio and Video Streaming ¬ª Streaming Audio"/>
    <x v="0"/>
    <x v="2"/>
    <s v="Chicago, Illinois"/>
    <s v="Illinois"/>
    <s v="cnbc.com"/>
    <s v="Google Ad Manager"/>
    <x v="1"/>
    <n v="42451"/>
    <n v="122"/>
    <n v="29142"/>
    <n v="41093"/>
    <n v="7"/>
    <n v="1530.553686"/>
    <n v="2.8739016748722057E-3"/>
    <n v="5.737704918032787E-2"/>
    <n v="218.65052657142857"/>
    <n v="36.054596735059242"/>
    <n v="0.70917187842211571"/>
    <n v="52.520543751286802"/>
  </r>
  <r>
    <s v="Online Behavior&gt;United States&gt;Autos and Vehicles ¬ª Brands&gt;Dodge"/>
    <x v="0"/>
    <x v="3"/>
    <s v="West Palm Beach-Ft. Pierce, Florida"/>
    <s v="Florida"/>
    <s v="autotrader.com"/>
    <s v="BidSwitch"/>
    <x v="1"/>
    <n v="43057"/>
    <n v="122"/>
    <n v="23767"/>
    <n v="41484"/>
    <n v="7"/>
    <n v="5884.9313940000002"/>
    <n v="2.833453329307662E-3"/>
    <n v="5.737704918032787E-2"/>
    <n v="840.70448485714292"/>
    <n v="136.67769222193837"/>
    <n v="0.57291967987657888"/>
    <n v="247.60934884503726"/>
  </r>
  <r>
    <s v="US ¬ª Automotive ¬ª Auto Loyalists and Defectors ¬ª Auto Make Defectors"/>
    <x v="1"/>
    <x v="0"/>
    <s v="Los Angeles, California"/>
    <s v="California"/>
    <s v="si.com"/>
    <s v="TripleLift"/>
    <x v="1"/>
    <n v="11561"/>
    <n v="87"/>
    <n v="4063"/>
    <n v="9941"/>
    <n v="5"/>
    <n v="1911.931953"/>
    <n v="7.525300579534642E-3"/>
    <n v="5.7471264367816091E-2"/>
    <n v="382.38639060000003"/>
    <n v="165.37773142461725"/>
    <n v="0.40871139724373806"/>
    <n v="470.57148732463696"/>
  </r>
  <r>
    <s v="Online Behavior&gt;United States&gt;Games&gt;Educational Games"/>
    <x v="2"/>
    <x v="1"/>
    <s v="Miami-Ft. Lauderdale, Florida"/>
    <s v="Florida"/>
    <s v="forbes.com"/>
    <s v="Google Ad Manager"/>
    <x v="1"/>
    <n v="119280"/>
    <n v="400"/>
    <n v="55665"/>
    <n v="112913"/>
    <n v="23"/>
    <n v="6492.6763430000001"/>
    <n v="3.3534540576794099E-3"/>
    <n v="5.7500000000000002E-2"/>
    <n v="282.29027578260872"/>
    <n v="54.432229569081152"/>
    <n v="0.49299017827885183"/>
    <n v="116.63839653283033"/>
  </r>
  <r>
    <s v="Online Behavior&gt;United States&gt;Life Event&gt;New Parent"/>
    <x v="0"/>
    <x v="3"/>
    <s v="Nashville, Tennessee"/>
    <s v="Tennessee"/>
    <s v="ebay.com"/>
    <s v="Xandr - Monetize SSP (AppNexus)"/>
    <x v="1"/>
    <n v="569171"/>
    <n v="1354"/>
    <n v="343050"/>
    <n v="541133"/>
    <n v="78"/>
    <n v="7129.6332869999997"/>
    <n v="2.3788984329841121E-3"/>
    <n v="5.7607090103397339E-2"/>
    <n v="91.405554961538456"/>
    <n v="12.52634671654037"/>
    <n v="0.63394766166543159"/>
    <n v="20.783073275032791"/>
  </r>
  <r>
    <s v="Online Behavior&gt;United States&gt;Internet and Telecom&gt;Web Apps and Online Tools"/>
    <x v="0"/>
    <x v="1"/>
    <s v="New York City, New York"/>
    <s v="New York"/>
    <s v="realtor.com"/>
    <s v="BidSwitch"/>
    <x v="0"/>
    <n v="109372"/>
    <n v="364"/>
    <n v="58336"/>
    <n v="103569"/>
    <n v="21"/>
    <n v="6928.0062019999996"/>
    <n v="3.3280912847895258E-3"/>
    <n v="5.7692307692307696E-2"/>
    <n v="329.9050572380952"/>
    <n v="63.343508411659286"/>
    <n v="0.56325734534464944"/>
    <n v="118.760391559243"/>
  </r>
  <r>
    <s v="Online Behavior&gt;United States&gt;Sports&gt;Fantasy Sports"/>
    <x v="1"/>
    <x v="2"/>
    <s v="Tallahassee, Florida-Thomasville, Georgia"/>
    <s v="Florida-Thomasville, Georgia"/>
    <s v="cargurus.com"/>
    <s v="Index Exchange"/>
    <x v="1"/>
    <n v="45285"/>
    <n v="190"/>
    <n v="30225"/>
    <n v="43298"/>
    <n v="11"/>
    <n v="4728.0124059999998"/>
    <n v="4.1956497736557359E-3"/>
    <n v="5.7894736842105263E-2"/>
    <n v="429.81930963636364"/>
    <n v="104.40570621618637"/>
    <n v="0.69806919488198071"/>
    <n v="156.42720946236557"/>
  </r>
  <r>
    <s v="US ¬ª Multibuyer Behaviors ¬ª Entertainment ¬ª Pastimes Multibuyer"/>
    <x v="0"/>
    <x v="2"/>
    <s v="Orlando-Daytona Beach, Florida"/>
    <s v="Florida"/>
    <s v="rent.com"/>
    <s v="BidSwitch"/>
    <x v="1"/>
    <n v="15277"/>
    <n v="69"/>
    <n v="3089"/>
    <n v="13644"/>
    <n v="4"/>
    <n v="1904.5643459999999"/>
    <n v="4.516593572036395E-3"/>
    <n v="5.7971014492753624E-2"/>
    <n v="476.14108649999997"/>
    <n v="124.66874032859855"/>
    <n v="0.22639988273233655"/>
    <n v="616.56340110067981"/>
  </r>
  <r>
    <s v="US ¬ª Reach ¬ª Propensity Models ¬ª Hobbies and Interest ¬ª Sports ¬ª NASCAR Enthusiast"/>
    <x v="0"/>
    <x v="2"/>
    <s v="Miami-Ft. Lauderdale, Florida"/>
    <s v="Florida"/>
    <s v="mail.yahoo.com"/>
    <s v="Google Ad Manager"/>
    <x v="1"/>
    <n v="12988"/>
    <n v="69"/>
    <n v="6514"/>
    <n v="9378"/>
    <n v="4"/>
    <n v="2236.485099"/>
    <n v="5.3125962426855558E-3"/>
    <n v="5.7971014492753624E-2"/>
    <n v="559.12127475"/>
    <n v="172.19626570680629"/>
    <n v="0.69460439326082324"/>
    <n v="343.33513954559407"/>
  </r>
  <r>
    <s v="Online Behavior&gt;United States&gt;Travel&gt;Specialty Travel"/>
    <x v="0"/>
    <x v="1"/>
    <s v="Chicago, Illinois"/>
    <s v="Illinois"/>
    <s v="weather.com"/>
    <s v="Google Ad Manager"/>
    <x v="1"/>
    <n v="182114"/>
    <n v="500"/>
    <n v="14477"/>
    <n v="139167"/>
    <n v="29"/>
    <n v="6307.9007510000001"/>
    <n v="2.7455330177800718E-3"/>
    <n v="5.8000000000000003E-2"/>
    <n v="217.51381900000001"/>
    <n v="34.637099569500421"/>
    <n v="0.1040260981410823"/>
    <n v="435.71877813082824"/>
  </r>
  <r>
    <s v="US ¬ª Demographic ¬ª Household Income $50k+"/>
    <x v="2"/>
    <x v="3"/>
    <s v="Nashville, Tennessee"/>
    <s v="Tennessee"/>
    <s v="thesaurus.com"/>
    <s v="Magnite DV+"/>
    <x v="1"/>
    <n v="20417"/>
    <n v="86"/>
    <n v="1016"/>
    <n v="13468"/>
    <n v="5"/>
    <n v="1805.6005130000001"/>
    <n v="4.2121761277366899E-3"/>
    <n v="5.8139534883720929E-2"/>
    <n v="361.1201026"/>
    <n v="88.436132291717684"/>
    <n v="7.5438075438075444E-2"/>
    <n v="1777.1658592519686"/>
  </r>
  <r>
    <s v="Real Estate ¬ª Lot Size ¬ª Cozy Outdoor Living Space (Less than  an Acre)"/>
    <x v="0"/>
    <x v="2"/>
    <s v="New York City, New York"/>
    <s v="New York"/>
    <s v="weather.com"/>
    <s v="Magnite DV+"/>
    <x v="1"/>
    <n v="232635"/>
    <n v="666"/>
    <n v="34008"/>
    <n v="195803"/>
    <n v="39"/>
    <n v="1773.991882"/>
    <n v="2.862853826810239E-3"/>
    <n v="5.8558558558558557E-2"/>
    <n v="45.486971333333337"/>
    <n v="7.625644816987986"/>
    <n v="0.17368477500344734"/>
    <n v="52.163957951070337"/>
  </r>
  <r>
    <s v="Retail"/>
    <x v="1"/>
    <x v="1"/>
    <s v="South Bend-Elkhart, Indiana"/>
    <s v="Indiana"/>
    <s v="weather.com"/>
    <s v="PubMatic"/>
    <x v="1"/>
    <n v="239164"/>
    <n v="699"/>
    <n v="86250"/>
    <n v="198209"/>
    <n v="41"/>
    <n v="2819.935266"/>
    <n v="2.9226806710039971E-3"/>
    <n v="5.8655221745350504E-2"/>
    <n v="68.778908926829274"/>
    <n v="11.790801567125488"/>
    <n v="0.43514673904817641"/>
    <n v="32.69490163478261"/>
  </r>
  <r>
    <s v="Online Behavior&gt;United States&gt;Sports&gt;Sports League ¬ª NHL"/>
    <x v="0"/>
    <x v="2"/>
    <s v="Chicago, Illinois"/>
    <s v="Illinois"/>
    <s v="ebay.com"/>
    <s v="Index Exchange"/>
    <x v="1"/>
    <n v="56945"/>
    <n v="152"/>
    <n v="20750"/>
    <n v="50714"/>
    <n v="9"/>
    <n v="5144.4743710000002"/>
    <n v="2.6692422512951093E-3"/>
    <n v="5.921052631578947E-2"/>
    <n v="571.60826344444445"/>
    <n v="90.341107577487051"/>
    <n v="0.40915723468864612"/>
    <n v="247.92647571084339"/>
  </r>
  <r>
    <s v="US ¬ª Brand Propensities ¬ª Media and Entertainment ¬ª wwe.com Buyer Propensity"/>
    <x v="0"/>
    <x v="2"/>
    <s v="Ft. Myers-Naples, Florida"/>
    <s v="Florida"/>
    <s v="allrecipes.com"/>
    <s v="Google Ad Manager"/>
    <x v="0"/>
    <n v="20348"/>
    <n v="101"/>
    <n v="14945"/>
    <n v="19548"/>
    <n v="6"/>
    <n v="1596.552373"/>
    <n v="4.9636327894633375E-3"/>
    <n v="5.9405940594059403E-2"/>
    <n v="266.09206216666666"/>
    <n v="78.462373353646555"/>
    <n v="0.76452834049519136"/>
    <n v="106.82852947474071"/>
  </r>
  <r>
    <s v="US ¬ª Interest Propensities ¬ª Activities and Interests ¬ª Financial Aid"/>
    <x v="0"/>
    <x v="3"/>
    <s v="Los Angeles, California"/>
    <s v="California"/>
    <s v="apnews.com"/>
    <s v="Google Ad Manager"/>
    <x v="1"/>
    <n v="12864"/>
    <n v="84"/>
    <n v="5549"/>
    <n v="11852"/>
    <n v="5"/>
    <n v="1905.8896930000001"/>
    <n v="6.5298507462686565E-3"/>
    <n v="5.9523809523809521E-2"/>
    <n v="381.1779386"/>
    <n v="148.15684802549751"/>
    <n v="0.46819102261221734"/>
    <n v="343.46543395206345"/>
  </r>
  <r>
    <s v="US ¬ª Reach ¬ª Sociodemographic ¬ª Estimated Current Home Value ¬ª $160,000-$199,999"/>
    <x v="0"/>
    <x v="0"/>
    <s v="Chicago, Illinois"/>
    <s v="Illinois"/>
    <s v="boattrader.com"/>
    <s v="Google Ad Manager"/>
    <x v="1"/>
    <n v="13132"/>
    <n v="67"/>
    <n v="6133"/>
    <n v="12377"/>
    <n v="4"/>
    <n v="1807.6931420000001"/>
    <n v="5.1020408163265302E-3"/>
    <n v="5.9701492537313432E-2"/>
    <n v="451.92328550000002"/>
    <n v="137.65558498324705"/>
    <n v="0.4955158762220247"/>
    <n v="294.74859644545899"/>
  </r>
  <r>
    <s v="US ¬ª Interest Propensities ¬ª Brands ¬ª Big Box Retail"/>
    <x v="1"/>
    <x v="1"/>
    <s v="Jacksonville, Florida"/>
    <s v="Florida"/>
    <s v="yellowpages.com"/>
    <s v="Google Ad Manager"/>
    <x v="1"/>
    <n v="61474"/>
    <n v="250"/>
    <n v="31245"/>
    <n v="49089"/>
    <n v="15"/>
    <n v="2189.3413489999998"/>
    <n v="4.0667599310277519E-3"/>
    <n v="0.06"/>
    <n v="145.95608993333332"/>
    <n v="35.614102693821778"/>
    <n v="0.63649697488235657"/>
    <n v="70.070134389502314"/>
  </r>
  <r>
    <s v="US ¬ª Sociodemographic ¬ª PRIZM Premier Social ¬ª C2 City Centers"/>
    <x v="0"/>
    <x v="3"/>
    <s v="Lansing, Michigan"/>
    <s v="Michigan"/>
    <s v="rent.com"/>
    <s v="Google Ad Manager"/>
    <x v="0"/>
    <n v="34278"/>
    <n v="100"/>
    <n v="3704"/>
    <n v="30227"/>
    <n v="6"/>
    <n v="1689.0831860000001"/>
    <n v="2.9173230643561466E-3"/>
    <n v="0.06"/>
    <n v="281.51386433333334"/>
    <n v="49.276013361339636"/>
    <n v="0.12253945148377278"/>
    <n v="456.01597894168464"/>
  </r>
  <r>
    <s v="Online Behavior&gt;United States&gt;Life Event&gt;Engagement"/>
    <x v="1"/>
    <x v="1"/>
    <s v="Miami-Ft. Lauderdale, Florida"/>
    <s v="Florida"/>
    <s v="businessinsider.com"/>
    <s v="Google Ad Manager"/>
    <x v="1"/>
    <n v="35163"/>
    <n v="250"/>
    <n v="21222"/>
    <n v="33671"/>
    <n v="15"/>
    <n v="6336.7181"/>
    <n v="7.1097460398714561E-3"/>
    <n v="0.06"/>
    <n v="422.44787333333335"/>
    <n v="180.20982566902711"/>
    <n v="0.63027531109857149"/>
    <n v="298.59193761191216"/>
  </r>
  <r>
    <s v="Online Behavior&gt;United States&gt;B2B ¬ª Occupation&gt;Teacher"/>
    <x v="0"/>
    <x v="1"/>
    <s v="Chicago, Illinois"/>
    <s v="Illinois"/>
    <s v="kbb.com"/>
    <s v="OpenX"/>
    <x v="1"/>
    <n v="49014"/>
    <n v="100"/>
    <n v="30349"/>
    <n v="46446"/>
    <n v="6"/>
    <n v="3628.3461699999998"/>
    <n v="2.0402334027012688E-3"/>
    <n v="0.06"/>
    <n v="604.7243616666666"/>
    <n v="74.02673052597217"/>
    <n v="0.65342548335701678"/>
    <n v="119.55406010082704"/>
  </r>
  <r>
    <s v="Online Behavior&gt;United States&gt;News&gt;Sports News"/>
    <x v="1"/>
    <x v="0"/>
    <s v="Chicago, Illinois"/>
    <s v="Illinois"/>
    <s v="biblegateway.com"/>
    <s v="Google Ad Manager"/>
    <x v="1"/>
    <n v="26715"/>
    <n v="100"/>
    <n v="12287"/>
    <n v="25003"/>
    <n v="6"/>
    <n v="4623.0896720000001"/>
    <n v="3.7432154220475387E-3"/>
    <n v="0.06"/>
    <n v="770.51494533333334"/>
    <n v="173.05220557739099"/>
    <n v="0.49142102947646282"/>
    <n v="376.25862065597789"/>
  </r>
  <r>
    <s v="Mobile - US ¬ª Demographics ¬ª Education ¬ª Lowest Education Achievement"/>
    <x v="1"/>
    <x v="3"/>
    <s v="Miami-Ft. Lauderdale, Florida"/>
    <s v="Florida"/>
    <s v="essentiallysports.com"/>
    <s v="BidSwitch"/>
    <x v="1"/>
    <n v="82916"/>
    <n v="199"/>
    <n v="24951"/>
    <n v="77333"/>
    <n v="12"/>
    <n v="1584.8212470000001"/>
    <n v="2.4000192966375611E-3"/>
    <n v="6.030150753768844E-2"/>
    <n v="132.06843725000002"/>
    <n v="19.113575751362827"/>
    <n v="0.32264363208462105"/>
    <n v="63.517343873993028"/>
  </r>
  <r>
    <s v="US Travel ¬ª Likely Business Travel ¬ª Number of Nights Stayed ¬ª 0 Nights"/>
    <x v="2"/>
    <x v="1"/>
    <s v="Ft. Myers-Naples, Florida"/>
    <s v="Florida"/>
    <s v="screenrant.com"/>
    <s v="Google Ad Manager"/>
    <x v="1"/>
    <n v="81054"/>
    <n v="265"/>
    <n v="56762"/>
    <n v="76198"/>
    <n v="16"/>
    <n v="1532.357841"/>
    <n v="3.2694253213906778E-3"/>
    <n v="6.0377358490566038E-2"/>
    <n v="95.7723650625"/>
    <n v="18.905394440743208"/>
    <n v="0.74492768839077139"/>
    <n v="26.996191836087522"/>
  </r>
  <r>
    <s v="US ¬ª B2B ¬ª B2B Decision Maker Responsibilities ¬ª Internet Services"/>
    <x v="0"/>
    <x v="1"/>
    <s v="Los Angeles, California"/>
    <s v="California"/>
    <s v="people.com"/>
    <s v="Google Ad Manager"/>
    <x v="0"/>
    <n v="31625"/>
    <n v="99"/>
    <n v="23764"/>
    <n v="29364"/>
    <n v="6"/>
    <n v="2360.5552440000001"/>
    <n v="3.1304347826086958E-3"/>
    <n v="6.0606060606060608E-2"/>
    <n v="393.42587400000002"/>
    <n v="74.642063051383403"/>
    <n v="0.80929028742678111"/>
    <n v="99.333245413230088"/>
  </r>
  <r>
    <s v="OnAudience ¬ª Intent ¬ª Toys &amp; Games"/>
    <x v="1"/>
    <x v="0"/>
    <s v="Chicago, Illinois"/>
    <s v="Illinois"/>
    <s v="kbb.com"/>
    <s v="Google Ad Manager"/>
    <x v="1"/>
    <n v="9222"/>
    <n v="33"/>
    <n v="5352"/>
    <n v="8141"/>
    <n v="2"/>
    <n v="1583.1643019999999"/>
    <n v="3.5783994795055302E-3"/>
    <n v="6.0606060606060608E-2"/>
    <n v="791.58215099999995"/>
    <n v="171.67255497722837"/>
    <n v="0.65741309421446992"/>
    <n v="295.80797869955154"/>
  </r>
  <r>
    <s v="Lotame ¬ª Personal Finance ¬ª Estate Planning"/>
    <x v="1"/>
    <x v="0"/>
    <s v="Los Angeles, California"/>
    <s v="California"/>
    <s v="businessinsider.com"/>
    <s v="Google Ad Manager"/>
    <x v="1"/>
    <n v="59782"/>
    <n v="212"/>
    <n v="28235"/>
    <n v="57543"/>
    <n v="13"/>
    <n v="1455.7035539999999"/>
    <n v="3.5462179251279651E-3"/>
    <n v="6.1320754716981132E-2"/>
    <n v="111.97719646153845"/>
    <n v="24.350198287109833"/>
    <n v="0.49067653754583529"/>
    <n v="51.556704586506108"/>
  </r>
  <r>
    <s v="US ¬ª B2B ¬ª B2B Decision Maker Responsibilities ¬ª Purchasing Vehicles or Automobile Services"/>
    <x v="0"/>
    <x v="0"/>
    <s v="Ft. Wayne, Indiana"/>
    <s v="Indiana"/>
    <s v="yahoo.com"/>
    <s v="PubMatic"/>
    <x v="1"/>
    <n v="276716"/>
    <n v="799"/>
    <n v="114927"/>
    <n v="255481"/>
    <n v="49"/>
    <n v="2276.2774709999999"/>
    <n v="2.8874369389554635E-3"/>
    <n v="6.1326658322903627E-2"/>
    <n v="46.45464226530612"/>
    <n v="8.2260421189956485"/>
    <n v="0.44984558538599739"/>
    <n v="19.806289827455689"/>
  </r>
  <r>
    <s v="Online Behavior&gt;United States&gt;Validated Demographic ¬ª Age&gt;25 or older"/>
    <x v="1"/>
    <x v="3"/>
    <s v="Chattanooga, Tennessee"/>
    <s v="Tennessee"/>
    <s v="kiplinger.com"/>
    <s v="OpenX"/>
    <x v="1"/>
    <n v="8233"/>
    <n v="65"/>
    <n v="5361"/>
    <n v="7643"/>
    <n v="4"/>
    <n v="6381.0065759999998"/>
    <n v="7.8950564800194332E-3"/>
    <n v="6.1538461538461542E-2"/>
    <n v="1595.2516439999999"/>
    <n v="775.05242025992948"/>
    <n v="0.70142614156744731"/>
    <n v="1190.2642372691662"/>
  </r>
  <r>
    <s v="OnAudience ¬ª Interest ¬ª Hobbies &amp; Interests ¬ª Art"/>
    <x v="0"/>
    <x v="0"/>
    <s v="Los Angeles, California"/>
    <s v="California"/>
    <s v="timeanddate.com"/>
    <s v="Magnite DV+"/>
    <x v="0"/>
    <n v="22934"/>
    <n v="81"/>
    <n v="18536"/>
    <n v="21019"/>
    <n v="5"/>
    <n v="1711.1063380000001"/>
    <n v="3.5318740734280982E-3"/>
    <n v="6.1728395061728392E-2"/>
    <n v="342.22126760000003"/>
    <n v="74.610026074823409"/>
    <n v="0.88186878538465197"/>
    <n v="92.312599158394477"/>
  </r>
  <r>
    <s v="US ¬ª Reach ¬ª Propensity Models ¬ª Hobbies and Interest ¬ª Sports ¬ª Fitness Enthusiasts"/>
    <x v="0"/>
    <x v="3"/>
    <s v="Chicago, Illinois"/>
    <s v="Illinois"/>
    <s v="fandomwire.com"/>
    <s v="Google Ad Manager"/>
    <x v="0"/>
    <n v="65238"/>
    <n v="240"/>
    <n v="23741"/>
    <n v="59893"/>
    <n v="15"/>
    <n v="3132.519209"/>
    <n v="3.678837487353996E-3"/>
    <n v="6.25E-2"/>
    <n v="208.83461393333334"/>
    <n v="48.016787899690364"/>
    <n v="0.39639022924214851"/>
    <n v="131.94554605955943"/>
  </r>
  <r>
    <s v="US ¬ª Reach ¬ª Propensity Models ¬ª Lifestyle ¬ª Loyalty Programs ¬ª Loyalty Card User"/>
    <x v="0"/>
    <x v="1"/>
    <s v="New York City, New York"/>
    <s v="New York"/>
    <s v="findagrave.com"/>
    <s v="PubMatic"/>
    <x v="1"/>
    <n v="13100"/>
    <n v="80"/>
    <n v="6507"/>
    <n v="10895"/>
    <n v="5"/>
    <n v="3411.590029"/>
    <n v="6.1068702290076335E-3"/>
    <n v="6.25E-2"/>
    <n v="682.31800580000004"/>
    <n v="260.42671977099235"/>
    <n v="0.59724644332262511"/>
    <n v="524.29537866912563"/>
  </r>
  <r>
    <s v="Online Behavior&gt;United States&gt;Intent ¬ª Auto Buyers ¬ª Car Make&gt;Dodge"/>
    <x v="1"/>
    <x v="0"/>
    <s v="Champaign &amp; Springfield-Decatur,Illinois"/>
    <s v="Illinois"/>
    <s v="historycollection.com"/>
    <s v="Google Ad Manager"/>
    <x v="1"/>
    <n v="138904"/>
    <n v="399"/>
    <n v="98952"/>
    <n v="120688"/>
    <n v="25"/>
    <n v="5038.6447239999998"/>
    <n v="2.8724874733628983E-3"/>
    <n v="6.2656641604010022E-2"/>
    <n v="201.54578895999998"/>
    <n v="36.2742953694638"/>
    <n v="0.81989924433249373"/>
    <n v="50.920089780903865"/>
  </r>
  <r>
    <s v="US ¬ª Home and Garden Interests ¬ª Cooking ¬ª Food Enthusiasts"/>
    <x v="1"/>
    <x v="0"/>
    <s v="Ft. Myers-Naples, Florida"/>
    <s v="Florida"/>
    <s v="ajc.com"/>
    <s v="PubMatic"/>
    <x v="1"/>
    <n v="12592"/>
    <n v="63"/>
    <n v="7472"/>
    <n v="11687"/>
    <n v="4"/>
    <n v="1521.185189"/>
    <n v="5.0031766200762393E-3"/>
    <n v="6.3492063492063489E-2"/>
    <n v="380.29629725000001"/>
    <n v="120.80568527636595"/>
    <n v="0.63934285958757597"/>
    <n v="203.58474156852247"/>
  </r>
  <r>
    <s v="OnAudience ¬ª Interest ¬ª Business"/>
    <x v="0"/>
    <x v="1"/>
    <s v="San Francisco, California"/>
    <s v="California"/>
    <s v="cbsnews.com"/>
    <s v="PubMatic"/>
    <x v="1"/>
    <n v="13700"/>
    <n v="63"/>
    <n v="3609"/>
    <n v="12644"/>
    <n v="4"/>
    <n v="2032.700147"/>
    <n v="4.5985401459854016E-3"/>
    <n v="6.3492063492063489E-2"/>
    <n v="508.17503675"/>
    <n v="148.37227350364964"/>
    <n v="0.2854318253717178"/>
    <n v="563.23085259074537"/>
  </r>
  <r>
    <s v="Media and Entertainment ¬ª Audio and Video Streaming ¬ª Streaming Video ¬ª Interest (Affinity)"/>
    <x v="1"/>
    <x v="1"/>
    <s v="Chicago, Illinois"/>
    <s v="Illinois"/>
    <s v="nytimes.com"/>
    <s v="Google Ad Manager"/>
    <x v="1"/>
    <n v="16239"/>
    <n v="78"/>
    <n v="9375"/>
    <n v="15562"/>
    <n v="5"/>
    <n v="2387.686295"/>
    <n v="4.8032514317384077E-3"/>
    <n v="6.4102564102564097E-2"/>
    <n v="477.53725900000001"/>
    <n v="147.03407198719131"/>
    <n v="0.60242899370260894"/>
    <n v="254.68653813333333"/>
  </r>
  <r>
    <s v="Online Behavior&gt;United States&gt;Intent ¬ª Shopping&gt;Entertainment"/>
    <x v="2"/>
    <x v="1"/>
    <s v="New York City, New York"/>
    <s v="New York"/>
    <s v="mapquest.com"/>
    <s v="Index Exchange"/>
    <x v="1"/>
    <n v="11734"/>
    <n v="78"/>
    <n v="8741"/>
    <n v="10606"/>
    <n v="5"/>
    <n v="6439.2834979999998"/>
    <n v="6.6473495824100901E-3"/>
    <n v="6.4102564102564097E-2"/>
    <n v="1287.8566996"/>
    <n v="548.7713906596216"/>
    <n v="0.82415613803507448"/>
    <n v="736.67583777599816"/>
  </r>
  <r>
    <s v="Online Behavior&gt;United States&gt;Intent ¬ª Auto Buyers ¬ª Car Make&gt;Hyundai"/>
    <x v="1"/>
    <x v="3"/>
    <s v="New York City, New York"/>
    <s v="New York"/>
    <s v="daily-choices.com"/>
    <s v="OpenX"/>
    <x v="1"/>
    <n v="25532"/>
    <n v="140"/>
    <n v="15219"/>
    <n v="21497"/>
    <n v="9"/>
    <n v="6047.1741089999996"/>
    <n v="5.4833150556164809E-3"/>
    <n v="6.4285714285714279E-2"/>
    <n v="671.90823433333333"/>
    <n v="236.84686311295627"/>
    <n v="0.70795925012792482"/>
    <n v="397.34372225507582"/>
  </r>
  <r>
    <s v="Online Behavior&gt;United States&gt;Travel&gt;Tourist Destinations"/>
    <x v="0"/>
    <x v="2"/>
    <s v="New York City, New York"/>
    <s v="New York"/>
    <s v="ebay.com"/>
    <s v="Google Ad Manager"/>
    <x v="1"/>
    <n v="325152"/>
    <n v="854"/>
    <n v="138319"/>
    <n v="300133"/>
    <n v="55"/>
    <n v="7887.6126619999995"/>
    <n v="2.6264639307154807E-3"/>
    <n v="6.4402810304449651E-2"/>
    <n v="143.41113930909091"/>
    <n v="24.258232033018402"/>
    <n v="0.46085901916816879"/>
    <n v="57.024795306501638"/>
  </r>
  <r>
    <s v="Online Behavior&gt;United States&gt;Home and Garden&gt;Yard and Patio"/>
    <x v="0"/>
    <x v="0"/>
    <s v="Los Angeles, California"/>
    <s v="California"/>
    <s v="w3schools.com"/>
    <s v="Index Exchange"/>
    <x v="1"/>
    <n v="11607"/>
    <n v="184"/>
    <n v="5218"/>
    <n v="10763"/>
    <n v="12"/>
    <n v="6909.7323180000003"/>
    <n v="1.5852502800034463E-2"/>
    <n v="6.5217391304347824E-2"/>
    <n v="575.81102650000003"/>
    <n v="595.30734194882405"/>
    <n v="0.48480906810368857"/>
    <n v="1324.2108696818705"/>
  </r>
  <r>
    <s v="Online Behavior&gt;United States&gt;Validated Demographic ¬ª Gender&gt;Female"/>
    <x v="2"/>
    <x v="0"/>
    <s v="Miami-Ft. Lauderdale, Florida"/>
    <s v="Florida"/>
    <s v="yourroyals.com"/>
    <s v="Google Ad Manager"/>
    <x v="1"/>
    <n v="10906"/>
    <n v="46"/>
    <n v="4735"/>
    <n v="6390"/>
    <n v="3"/>
    <n v="5694.2709400000003"/>
    <n v="4.2178617274894557E-3"/>
    <n v="6.5217391304347824E-2"/>
    <n v="1898.0903133333334"/>
    <n v="522.12277095176967"/>
    <n v="0.74100156494522695"/>
    <n v="1202.5915395987329"/>
  </r>
  <r>
    <s v="Online Behavior&gt;United States&gt;Validated Demographic ¬ª Gender and Age Combined&gt;Males 25 or older"/>
    <x v="1"/>
    <x v="0"/>
    <s v="Chicago, Illinois"/>
    <s v="Illinois"/>
    <s v="usatoday.com"/>
    <s v="OpenX"/>
    <x v="1"/>
    <n v="47016"/>
    <n v="199"/>
    <n v="12210"/>
    <n v="38039"/>
    <n v="13"/>
    <n v="5974.8750799999998"/>
    <n v="4.2326016675174405E-3"/>
    <n v="6.5326633165829151E-2"/>
    <n v="459.60577538461536"/>
    <n v="127.08173983324825"/>
    <n v="0.32098635610820475"/>
    <n v="489.34275839475839"/>
  </r>
  <r>
    <s v="Online Behavior&gt;United States&gt;Validated Demographic ¬ª Age&gt;25-54"/>
    <x v="0"/>
    <x v="0"/>
    <s v="New York City, New York"/>
    <s v="New York"/>
    <s v="weather.com"/>
    <s v="Google Ad Manager"/>
    <x v="1"/>
    <n v="198163"/>
    <n v="469"/>
    <n v="76695"/>
    <n v="183585"/>
    <n v="31"/>
    <n v="5204.313768"/>
    <n v="2.3667384930587446E-3"/>
    <n v="6.6098081023454158E-2"/>
    <n v="167.88108929032259"/>
    <n v="26.262792589938584"/>
    <n v="0.41776288912492848"/>
    <n v="67.857275806767063"/>
  </r>
  <r>
    <s v="Online Behavior&gt;United States&gt;Validated Demographic ¬ª Gender and Age Combined&gt;Females 18-44"/>
    <x v="1"/>
    <x v="3"/>
    <s v="Augusta, Georgia"/>
    <s v="Georgia"/>
    <s v="mail.yahoo.com"/>
    <s v="PubMatic"/>
    <x v="1"/>
    <n v="207685"/>
    <n v="512"/>
    <n v="20134"/>
    <n v="30708"/>
    <n v="34"/>
    <n v="5239.2047869999997"/>
    <n v="2.4652719262344418E-3"/>
    <n v="6.640625E-2"/>
    <n v="154.09425844117646"/>
    <n v="25.226688432000383"/>
    <n v="0.65565976292822714"/>
    <n v="260.21678687791791"/>
  </r>
  <r>
    <s v="Online Behavior&gt;United States&gt;People and Society&gt;Millennials"/>
    <x v="0"/>
    <x v="1"/>
    <s v="Miami-Ft. Lauderdale, Florida"/>
    <s v="Florida"/>
    <s v="accuweather.com"/>
    <s v="BidSwitch"/>
    <x v="1"/>
    <n v="23829"/>
    <n v="75"/>
    <n v="8326"/>
    <n v="18812"/>
    <n v="5"/>
    <n v="1534.6980000000001"/>
    <n v="3.1474254060178774E-3"/>
    <n v="6.6666666666666666E-2"/>
    <n v="306.93960000000004"/>
    <n v="64.404633010197657"/>
    <n v="0.44258983627471826"/>
    <n v="184.32596685082873"/>
  </r>
  <r>
    <s v="Mobile - US ¬ª Travel ¬ª Destination ¬ª International Travelers ¬ª Frequent Travelers"/>
    <x v="0"/>
    <x v="1"/>
    <s v="New York City, New York"/>
    <s v="New York"/>
    <s v="biblegateway.com"/>
    <s v="Smart RTB+ (Smartadserver)"/>
    <x v="2"/>
    <n v="18313"/>
    <n v="60"/>
    <n v="9481"/>
    <n v="16300"/>
    <n v="4"/>
    <n v="1456.9341870000001"/>
    <n v="3.2763610549882598E-3"/>
    <n v="6.6666666666666666E-2"/>
    <n v="364.23354675000002"/>
    <n v="79.557373832796387"/>
    <n v="0.58165644171779141"/>
    <n v="153.66883103048204"/>
  </r>
  <r>
    <s v="Mobile - US ¬ª Financial Services ¬ª Digital Payments ¬ª Chase Pay"/>
    <x v="0"/>
    <x v="3"/>
    <s v="Los Angeles, California"/>
    <s v="California"/>
    <s v="outlook.live.com"/>
    <s v="Google Ad Manager"/>
    <x v="1"/>
    <n v="21088"/>
    <n v="60"/>
    <n v="17930"/>
    <n v="19822"/>
    <n v="4"/>
    <n v="1623.681601"/>
    <n v="2.8452200303490135E-3"/>
    <n v="6.6666666666666666E-2"/>
    <n v="405.92040025"/>
    <n v="76.99552356790592"/>
    <n v="0.90455049944506105"/>
    <n v="90.556698326826549"/>
  </r>
  <r>
    <s v="US ¬ª Interest Propensities ¬ª TV and Movies ¬ª Sports TV"/>
    <x v="0"/>
    <x v="1"/>
    <s v="Los Angeles, California"/>
    <s v="California"/>
    <s v="accuweather.com"/>
    <s v="Yahoo Exchange"/>
    <x v="1"/>
    <n v="15200"/>
    <n v="60"/>
    <n v="5375"/>
    <n v="12040"/>
    <n v="4"/>
    <n v="1970.3573449999999"/>
    <n v="3.9473684210526317E-3"/>
    <n v="6.6666666666666666E-2"/>
    <n v="492.58933624999997"/>
    <n v="129.62877269736842"/>
    <n v="0.44642857142857145"/>
    <n v="366.57811069767439"/>
  </r>
  <r>
    <s v="Travel and Tourism ¬ª Interest (Affinity) ¬ª Destinations ¬ª North America ¬ª United States"/>
    <x v="2"/>
    <x v="0"/>
    <s v="Los Angeles, California"/>
    <s v="California"/>
    <s v="cars.com"/>
    <s v="Google Ad Manager"/>
    <x v="1"/>
    <n v="9730"/>
    <n v="45"/>
    <n v="2971"/>
    <n v="5102"/>
    <n v="3"/>
    <n v="1778.9379349999999"/>
    <n v="4.6248715313463515E-3"/>
    <n v="6.6666666666666666E-2"/>
    <n v="592.9793116666666"/>
    <n v="182.83020914696812"/>
    <n v="0.58232065856526849"/>
    <n v="598.76739649949502"/>
  </r>
  <r>
    <s v="US ¬ª Health and Wellbeing ¬ª Health and Wellbeing"/>
    <x v="1"/>
    <x v="1"/>
    <s v="Chicago, Illinois"/>
    <s v="Illinois"/>
    <s v="medicalnewstoday.com"/>
    <s v="Magnite DV+"/>
    <x v="1"/>
    <n v="9881"/>
    <n v="15"/>
    <n v="2344"/>
    <n v="7324"/>
    <n v="1"/>
    <n v="1505.0115499999999"/>
    <n v="1.5180649731808521E-3"/>
    <n v="6.6666666666666666E-2"/>
    <n v="1505.0115499999999"/>
    <n v="152.31368788584152"/>
    <n v="0.32004369197160021"/>
    <n v="642.06977389078497"/>
  </r>
  <r>
    <s v="OnAudience ¬ª Intent ¬ª Travel"/>
    <x v="0"/>
    <x v="0"/>
    <s v="Chicago, Illinois"/>
    <s v="Illinois"/>
    <s v="msn.com"/>
    <s v="BidSwitch"/>
    <x v="2"/>
    <n v="96031"/>
    <n v="311"/>
    <n v="57187"/>
    <n v="78396"/>
    <n v="21"/>
    <n v="1508.9076700000001"/>
    <n v="3.2385375555810101E-3"/>
    <n v="6.7524115755627015E-2"/>
    <n v="71.852746190476196"/>
    <n v="15.712714331830346"/>
    <n v="0.7294632379203021"/>
    <n v="26.385501425149076"/>
  </r>
  <r>
    <s v="US ¬ª B2B ¬ª B2B Decision Maker Responsibilities ¬ª Accounting or Tax Services"/>
    <x v="1"/>
    <x v="1"/>
    <s v="Miami-Ft. Lauderdale, Florida"/>
    <s v="Florida"/>
    <s v="doodle.com"/>
    <s v="Google Ad Manager"/>
    <x v="1"/>
    <n v="12606"/>
    <n v="74"/>
    <n v="8332"/>
    <n v="11170"/>
    <n v="5"/>
    <n v="2002.5379889999999"/>
    <n v="5.8702205299063937E-3"/>
    <n v="6.7567567567567571E-2"/>
    <n v="400.50759779999998"/>
    <n v="158.85594074250358"/>
    <n v="0.74592658907788723"/>
    <n v="240.34301356216992"/>
  </r>
  <r>
    <s v="US ¬ª Sociodemographic ¬ª ConneXions Lifestage ¬ª M3 Offline Seniors"/>
    <x v="1"/>
    <x v="0"/>
    <s v="Jacksonville, Florida"/>
    <s v="Florida"/>
    <s v="geeksforgeeks.org"/>
    <s v="Index Exchange"/>
    <x v="1"/>
    <n v="13293"/>
    <n v="74"/>
    <n v="9054"/>
    <n v="12676"/>
    <n v="5"/>
    <n v="2901.2095089999998"/>
    <n v="5.5668396900624391E-3"/>
    <n v="6.7567567567567571E-2"/>
    <n v="580.24190179999994"/>
    <n v="218.25092221469947"/>
    <n v="0.71426317450299781"/>
    <n v="320.43400806273468"/>
  </r>
  <r>
    <s v="Online Behavior&gt;United States&gt;Sports&gt;Sports League ¬ª NFL"/>
    <x v="1"/>
    <x v="2"/>
    <s v="Los Angeles, California"/>
    <s v="California"/>
    <s v="alotfinance.com"/>
    <s v="OpenX"/>
    <x v="1"/>
    <n v="40447"/>
    <n v="177"/>
    <n v="16663"/>
    <n v="29774"/>
    <n v="12"/>
    <n v="5083.8862730000001"/>
    <n v="4.3760971147427498E-3"/>
    <n v="6.7796610169491525E-2"/>
    <n v="423.65718941666665"/>
    <n v="125.69254266076594"/>
    <n v="0.5596493585007053"/>
    <n v="305.10029844565804"/>
  </r>
  <r>
    <s v="Online Behavior&gt;United States&gt;The Changing Consumer&gt;Online Retailers"/>
    <x v="1"/>
    <x v="0"/>
    <s v="Chicago, Illinois"/>
    <s v="Illinois"/>
    <s v="investing.com"/>
    <s v="Google Ad Manager"/>
    <x v="1"/>
    <n v="42759"/>
    <n v="177"/>
    <n v="17744"/>
    <n v="34812"/>
    <n v="12"/>
    <n v="6316.4880540000004"/>
    <n v="4.1394794078439623E-3"/>
    <n v="6.7796610169491525E-2"/>
    <n v="526.37400450000007"/>
    <n v="147.72300694590612"/>
    <n v="0.50970929564517986"/>
    <n v="355.97881278178539"/>
  </r>
  <r>
    <s v="Real Estate ¬ª Occupancy ¬ª Owner Occupied"/>
    <x v="0"/>
    <x v="2"/>
    <s v="Chicago, Illinois"/>
    <s v="Illinois"/>
    <s v="accuweather.com"/>
    <s v="Google Ad Manager"/>
    <x v="0"/>
    <n v="49250"/>
    <n v="220"/>
    <n v="9205"/>
    <n v="43535"/>
    <n v="15"/>
    <n v="1694.4709769999999"/>
    <n v="4.4670050761421321E-3"/>
    <n v="6.8181818181818177E-2"/>
    <n v="112.9647318"/>
    <n v="34.405502071065989"/>
    <n v="0.2114390720110256"/>
    <n v="184.08158359587179"/>
  </r>
  <r>
    <s v="Online Behavior&gt;United States&gt;Food and Drink&gt;Restaurants ¬ª Dining Guides"/>
    <x v="1"/>
    <x v="2"/>
    <s v="Chicago, Illinois"/>
    <s v="Illinois"/>
    <s v="cnn.com"/>
    <s v="Index Exchange"/>
    <x v="1"/>
    <n v="116926"/>
    <n v="321"/>
    <n v="69132"/>
    <n v="111957"/>
    <n v="22"/>
    <n v="4918.0409820000004"/>
    <n v="2.7453261036895129E-3"/>
    <n v="6.8535825545171333E-2"/>
    <n v="223.54731736363638"/>
    <n v="42.061141080683512"/>
    <n v="0.61748707092901745"/>
    <n v="71.139862610657886"/>
  </r>
  <r>
    <s v="Online Behavior&gt;United States&gt;The Changing Consumer&gt;Pet Adoption"/>
    <x v="0"/>
    <x v="0"/>
    <s v="Tampa-St Petersburg (Sarasota), Florida"/>
    <s v="Florida"/>
    <s v="weather.com"/>
    <s v="Google Ad Manager"/>
    <x v="2"/>
    <n v="45668"/>
    <n v="130"/>
    <n v="16872"/>
    <n v="32085"/>
    <n v="9"/>
    <n v="3444.2029459999999"/>
    <n v="2.8466322151178068E-3"/>
    <n v="6.9230769230769235E-2"/>
    <n v="382.68921622222223"/>
    <n v="75.418300472978885"/>
    <n v="0.5258532024310425"/>
    <n v="204.13720637743006"/>
  </r>
  <r>
    <s v="Online Behavior&gt;United States&gt;Autos and Vehicles ¬ª Brands&gt;Maserati"/>
    <x v="1"/>
    <x v="1"/>
    <s v="Ft. Myers-Naples, Florida"/>
    <s v="Florida"/>
    <s v="foxnews.com"/>
    <s v="BidSwitch"/>
    <x v="1"/>
    <n v="38408"/>
    <n v="101"/>
    <n v="23557"/>
    <n v="35247"/>
    <n v="7"/>
    <n v="5343.4594310000002"/>
    <n v="2.6296604873984586E-3"/>
    <n v="6.9306930693069313E-2"/>
    <n v="763.35134728571427"/>
    <n v="139.12360526452824"/>
    <n v="0.66834056799160213"/>
    <n v="226.83106639215518"/>
  </r>
  <r>
    <s v="Media and Entertainment ¬ª News and Current Events"/>
    <x v="0"/>
    <x v="2"/>
    <s v="Los Angeles, California"/>
    <s v="California"/>
    <s v="nbcnews.com"/>
    <s v="Google Ad Manager"/>
    <x v="1"/>
    <n v="183208"/>
    <n v="620"/>
    <n v="131164"/>
    <n v="177952"/>
    <n v="43"/>
    <n v="2682.4366230000001"/>
    <n v="3.3841316973057946E-3"/>
    <n v="6.9354838709677416E-2"/>
    <n v="62.38224704651163"/>
    <n v="14.641481938561636"/>
    <n v="0.73707516633698977"/>
    <n v="20.451012648287641"/>
  </r>
  <r>
    <s v="OnAudience ¬ª Interest ¬ª Science ¬ª Weather Forecast"/>
    <x v="0"/>
    <x v="1"/>
    <s v="Los Angeles, California"/>
    <s v="California"/>
    <s v="biblegateway.com"/>
    <s v="Google Ad Manager"/>
    <x v="0"/>
    <n v="16808"/>
    <n v="43"/>
    <n v="9211"/>
    <n v="13372"/>
    <n v="3"/>
    <n v="1574.7912799999999"/>
    <n v="2.5583055687767729E-3"/>
    <n v="6.9767441860465115E-2"/>
    <n v="524.93042666666668"/>
    <n v="93.692960495002382"/>
    <n v="0.68882740053843849"/>
    <n v="170.96854630333297"/>
  </r>
  <r>
    <s v="Online Behavior&gt;United States&gt;The Changing Consumer&gt;Home Entertaining"/>
    <x v="0"/>
    <x v="1"/>
    <s v="Flint-Saginaw-Bay City, Michigan"/>
    <s v="Michigan"/>
    <s v="mail.yahoo.com"/>
    <s v="Google Ad Manager"/>
    <x v="1"/>
    <n v="14730"/>
    <n v="86"/>
    <n v="6410"/>
    <n v="10860"/>
    <n v="6"/>
    <n v="5287.5675279999996"/>
    <n v="5.8384249830278345E-3"/>
    <n v="6.9767441860465115E-2"/>
    <n v="881.26125466666656"/>
    <n v="358.96588784792937"/>
    <n v="0.59023941068139962"/>
    <n v="824.89353010920433"/>
  </r>
  <r>
    <s v="Online Behavior&gt;United States&gt;Validated Demographic ¬ª Gender and Age Combined&gt;Males 25-64"/>
    <x v="0"/>
    <x v="3"/>
    <s v="Chicago, Illinois"/>
    <s v="Illinois"/>
    <s v="the-sun.com"/>
    <s v="Index Exchange"/>
    <x v="2"/>
    <n v="48707"/>
    <n v="185"/>
    <n v="25182"/>
    <n v="44696"/>
    <n v="13"/>
    <n v="5600.3556429999999"/>
    <n v="3.7982220214753527E-3"/>
    <n v="7.0270270270270274E-2"/>
    <n v="430.79658792307691"/>
    <n v="114.98050881803437"/>
    <n v="0.56340612135314128"/>
    <n v="222.39518874592963"/>
  </r>
  <r>
    <s v="US ¬ª Interest Propensities ¬ª Insurance ¬ª Lincoln Heritage"/>
    <x v="1"/>
    <x v="1"/>
    <s v="New York City, New York"/>
    <s v="New York"/>
    <s v="weather.com"/>
    <s v="PubMatic"/>
    <x v="1"/>
    <n v="61848"/>
    <n v="213"/>
    <n v="6581"/>
    <n v="44917"/>
    <n v="15"/>
    <n v="1819.8936020000001"/>
    <n v="3.4439270469538222E-3"/>
    <n v="7.0422535211267609E-2"/>
    <n v="121.32624013333334"/>
    <n v="29.425261964816972"/>
    <n v="0.14651468263686354"/>
    <n v="276.53754778908984"/>
  </r>
  <r>
    <s v="OnAudience ¬ª Interest ¬ª Arts &amp; Entertainment"/>
    <x v="1"/>
    <x v="0"/>
    <s v="Los Angeles, California"/>
    <s v="California"/>
    <s v="redfin.com"/>
    <s v="OpenX"/>
    <x v="1"/>
    <n v="37617"/>
    <n v="85"/>
    <n v="5092"/>
    <n v="34373"/>
    <n v="6"/>
    <n v="1608.8829519999999"/>
    <n v="2.2596166626791077E-3"/>
    <n v="7.0588235294117646E-2"/>
    <n v="268.14715866666666"/>
    <n v="42.770102666347661"/>
    <n v="0.1481395281179996"/>
    <n v="315.96287352710135"/>
  </r>
  <r>
    <s v="Online Behavior&gt;United States&gt;Validated Demographic ¬ª Gender and Age Combined&gt;Females 65 or older"/>
    <x v="1"/>
    <x v="1"/>
    <s v="Chicago, Illinois"/>
    <s v="Illinois"/>
    <s v="finance.yahoo.com"/>
    <s v="Google Ad Manager"/>
    <x v="1"/>
    <n v="232470"/>
    <n v="504"/>
    <n v="40870"/>
    <n v="195447"/>
    <n v="36"/>
    <n v="5401.3650850000004"/>
    <n v="2.1680216802168022E-3"/>
    <n v="7.1428571428571425E-2"/>
    <n v="150.03791902777778"/>
    <n v="23.234675807631096"/>
    <n v="0.20911039821537297"/>
    <n v="132.15965463665279"/>
  </r>
  <r>
    <s v="US ¬ª Brand Propensities ¬ª Media and Entertainment ¬ª Regal Cinemas Buyer Propensity"/>
    <x v="1"/>
    <x v="3"/>
    <s v="Jacksonville, Florida"/>
    <s v="Florida"/>
    <s v="finance.yahoo.com"/>
    <s v="Google Ad Manager"/>
    <x v="1"/>
    <n v="52582"/>
    <n v="140"/>
    <n v="22065"/>
    <n v="46126"/>
    <n v="10"/>
    <n v="1631.741712"/>
    <n v="2.6625080826138221E-3"/>
    <n v="7.1428571428571425E-2"/>
    <n v="163.17417119999999"/>
    <n v="31.032324978129399"/>
    <n v="0.47836361271300354"/>
    <n v="73.951584500339905"/>
  </r>
  <r>
    <s v="OnAudience ¬ª Interest ¬ª Technology &amp; Computing ¬ª Internet Technology"/>
    <x v="0"/>
    <x v="0"/>
    <s v="Panama City, Florida"/>
    <s v="Florida"/>
    <s v="ign.com"/>
    <s v="OpenX"/>
    <x v="1"/>
    <n v="13833"/>
    <n v="84"/>
    <n v="7693"/>
    <n v="13237"/>
    <n v="6"/>
    <n v="1526.7870660000001"/>
    <n v="6.072435480373021E-3"/>
    <n v="7.1428571428571425E-2"/>
    <n v="254.46451100000002"/>
    <n v="110.37280893515506"/>
    <n v="0.58117398202009518"/>
    <n v="198.46445677888991"/>
  </r>
  <r>
    <s v="Mobile - US ¬ª Travel ¬ª Activity ¬ª Ski Travelers"/>
    <x v="1"/>
    <x v="0"/>
    <s v="Miami-Ft. Lauderdale, Florida"/>
    <s v="Florida"/>
    <s v="hindustantimes.com"/>
    <s v="Google Ad Manager"/>
    <x v="1"/>
    <n v="16580"/>
    <n v="84"/>
    <n v="11928"/>
    <n v="14527"/>
    <n v="6"/>
    <n v="1965.7389470000001"/>
    <n v="5.066344993968637E-3"/>
    <n v="7.1428571428571425E-2"/>
    <n v="327.62315783333332"/>
    <n v="118.56085325693608"/>
    <n v="0.82109176017071661"/>
    <n v="164.80038120389003"/>
  </r>
  <r>
    <s v="Online Behavior&gt;United States&gt;Travel&gt;Tourist Destinations ¬ª Historical Sites and Buildings"/>
    <x v="1"/>
    <x v="3"/>
    <s v="San Francisco, California"/>
    <s v="California"/>
    <s v="slickdeals.net"/>
    <s v="Index Exchange"/>
    <x v="1"/>
    <n v="47360"/>
    <n v="126"/>
    <n v="8047"/>
    <n v="33641"/>
    <n v="9"/>
    <n v="6502.2749329999997"/>
    <n v="2.6604729729729731E-3"/>
    <n v="7.1428571428571425E-2"/>
    <n v="722.47499255555556"/>
    <n v="137.29465652449323"/>
    <n v="0.23920216402603967"/>
    <n v="808.03714837827749"/>
  </r>
  <r>
    <s v="Online Behavior&gt;United States&gt;Arts and Entertainment&gt;Movies"/>
    <x v="0"/>
    <x v="3"/>
    <s v="Nashville, Tennessee"/>
    <s v="Tennessee"/>
    <s v="funnyand.com"/>
    <s v="Google Ad Manager"/>
    <x v="1"/>
    <n v="9273"/>
    <n v="70"/>
    <n v="4648"/>
    <n v="8751"/>
    <n v="5"/>
    <n v="4986.51937"/>
    <n v="7.5487975843847727E-3"/>
    <n v="7.1428571428571425E-2"/>
    <n v="997.30387399999995"/>
    <n v="537.74607678205541"/>
    <n v="0.53113929836590101"/>
    <n v="1072.8311897590361"/>
  </r>
  <r>
    <s v="Online Behavior&gt;United States&gt;Online Communities&gt;Social Networks"/>
    <x v="1"/>
    <x v="3"/>
    <s v="Chicago, Illinois"/>
    <s v="Illinois"/>
    <s v="flightaware.com"/>
    <s v="Google Ad Manager"/>
    <x v="1"/>
    <n v="9463"/>
    <n v="56"/>
    <n v="1518"/>
    <n v="8191"/>
    <n v="4"/>
    <n v="6879.6017069999998"/>
    <n v="5.9177850575927293E-3"/>
    <n v="7.1428571428571425E-2"/>
    <n v="1719.90042675"/>
    <n v="727.00007471203639"/>
    <n v="0.18532535709925527"/>
    <n v="4532.0169347826086"/>
  </r>
  <r>
    <s v="Online Behavior&gt;United States&gt;Autos and Vehicles ¬ª Brands&gt;Saab"/>
    <x v="1"/>
    <x v="3"/>
    <s v="Jackson, Mississippi"/>
    <s v="Mississippi"/>
    <s v="geeksforgeeks.org"/>
    <s v="Google Ad Manager"/>
    <x v="1"/>
    <n v="109709"/>
    <n v="278"/>
    <n v="3064"/>
    <n v="15428"/>
    <n v="20"/>
    <n v="5409.0839550000001"/>
    <n v="2.533976246251447E-3"/>
    <n v="7.1942446043165464E-2"/>
    <n v="270.45419774999999"/>
    <n v="49.303921783992195"/>
    <n v="0.19859994814622764"/>
    <n v="1765.3668260443865"/>
  </r>
  <r>
    <s v="Online Behavior&gt;United States&gt;Travel&gt;Travel Agencies and Services"/>
    <x v="2"/>
    <x v="0"/>
    <s v="New York City, New York"/>
    <s v="New York"/>
    <s v="mail.yahoo.com"/>
    <s v="Google Ad Manager"/>
    <x v="1"/>
    <n v="184622"/>
    <n v="180"/>
    <n v="98938"/>
    <n v="161848"/>
    <n v="13"/>
    <n v="7149.8160749999997"/>
    <n v="9.7496506375188219E-4"/>
    <n v="7.2222222222222215E-2"/>
    <n v="549.98585192307689"/>
    <n v="38.726782696536702"/>
    <n v="0.61130196233503042"/>
    <n v="72.265621651943647"/>
  </r>
  <r>
    <s v="OnAudience ¬ª Interest ¬ª Arts &amp; Entertainment ¬ª Fine Art"/>
    <x v="2"/>
    <x v="2"/>
    <s v="West Palm Beach-Ft. Pierce, Florida"/>
    <s v="Florida"/>
    <s v="kbb.com"/>
    <s v="BidSwitch"/>
    <x v="1"/>
    <n v="37717"/>
    <n v="69"/>
    <n v="26541"/>
    <n v="35126"/>
    <n v="5"/>
    <n v="1725.2713630000001"/>
    <n v="1.8294137921891986E-3"/>
    <n v="7.2463768115942032E-2"/>
    <n v="345.05427259999999"/>
    <n v="45.742539517989236"/>
    <n v="0.75559414678585668"/>
    <n v="65.004007497833541"/>
  </r>
  <r>
    <s v="Online Behavior&gt;United States&gt;Validated Demographic ¬ª Age&gt;18-64"/>
    <x v="0"/>
    <x v="3"/>
    <s v="Grand Rapids-Kalamazoo, Michigan"/>
    <s v="Michigan"/>
    <s v="cars.com"/>
    <s v="PubMatic"/>
    <x v="0"/>
    <n v="48562"/>
    <n v="150"/>
    <n v="29108"/>
    <n v="45570"/>
    <n v="11"/>
    <n v="6346.6330239999998"/>
    <n v="3.088834891478934E-3"/>
    <n v="7.3333333333333334E-2"/>
    <n v="576.96663854545454"/>
    <n v="130.69134351962441"/>
    <n v="0.63875356594250599"/>
    <n v="218.03741321973342"/>
  </r>
  <r>
    <s v="US ¬ªGreen Consumer Audience"/>
    <x v="1"/>
    <x v="0"/>
    <s v="Miami-Ft. Lauderdale, Florida"/>
    <s v="Florida"/>
    <s v="cbsnews.com"/>
    <s v="Smart RTB+ (Smartadserver)"/>
    <x v="1"/>
    <n v="69540"/>
    <n v="204"/>
    <n v="28713"/>
    <n v="62829"/>
    <n v="15"/>
    <n v="1838.9877300000001"/>
    <n v="2.9335634167385678E-3"/>
    <n v="7.3529411764705885E-2"/>
    <n v="122.599182"/>
    <n v="26.445034943917168"/>
    <n v="0.45700233968390391"/>
    <n v="64.047216591787688"/>
  </r>
  <r>
    <s v="Online Behavior&gt;United States&gt;Internet and Telecom&gt;Search Engines"/>
    <x v="0"/>
    <x v="3"/>
    <s v="Chicago, Illinois"/>
    <s v="Illinois"/>
    <s v="weather.com"/>
    <s v="PubMatic"/>
    <x v="0"/>
    <n v="26439"/>
    <n v="95"/>
    <n v="7093"/>
    <n v="19681"/>
    <n v="7"/>
    <n v="5330.7819689999997"/>
    <n v="3.5931767464730132E-3"/>
    <n v="7.3684210526315783E-2"/>
    <n v="761.54028128571429"/>
    <n v="201.62570327924655"/>
    <n v="0.36039835374218787"/>
    <n v="751.55533187649792"/>
  </r>
  <r>
    <s v="Online Behavior&gt;United States&gt;Intent ¬ª Travel&gt;Flights"/>
    <x v="2"/>
    <x v="2"/>
    <s v="Miami-Ft. Lauderdale, Florida"/>
    <s v="Florida"/>
    <s v="nypost.com"/>
    <s v="Xandr - Monetize SSP (AppNexus)"/>
    <x v="1"/>
    <n v="140359"/>
    <n v="352"/>
    <n v="76130"/>
    <n v="133578"/>
    <n v="26"/>
    <n v="6094.6667989999996"/>
    <n v="2.507854857900099E-3"/>
    <n v="7.3863636363636367E-2"/>
    <n v="234.41026149999999"/>
    <n v="43.42198789532555"/>
    <n v="0.56992917995478298"/>
    <n v="80.056046223564948"/>
  </r>
  <r>
    <s v="Mobile - US ¬ª Food ¬ª Restaurant ¬ª Brand ¬ª Outback Steakhouse"/>
    <x v="0"/>
    <x v="0"/>
    <s v="Chicago, Illinois"/>
    <s v="Illinois"/>
    <s v="buzzfeed.com"/>
    <s v="TripleLift"/>
    <x v="1"/>
    <n v="11296"/>
    <n v="54"/>
    <n v="6822"/>
    <n v="9274"/>
    <n v="4"/>
    <n v="1682.338499"/>
    <n v="4.7804532577903685E-3"/>
    <n v="7.407407407407407E-2"/>
    <n v="420.58462474999999"/>
    <n v="148.93223256019832"/>
    <n v="0.73560491697218033"/>
    <n v="246.6048811199062"/>
  </r>
  <r>
    <s v="Online Behavior&gt;United States&gt;Autos and Vehicles ¬ª Brands&gt;Ferrari"/>
    <x v="0"/>
    <x v="1"/>
    <s v="Miami-Ft. Lauderdale, Florida"/>
    <s v="Florida"/>
    <s v="biblegateway.com"/>
    <s v="Google Ad Manager"/>
    <x v="0"/>
    <n v="88293"/>
    <n v="255"/>
    <n v="24101"/>
    <n v="75557"/>
    <n v="19"/>
    <n v="5054.481581"/>
    <n v="2.8881111752913596E-3"/>
    <n v="7.4509803921568626E-2"/>
    <n v="266.02534636842103"/>
    <n v="57.246685252511519"/>
    <n v="0.31897772542583747"/>
    <n v="209.7208240736899"/>
  </r>
  <r>
    <s v="OnAudience ¬ª Intent ¬ª Software"/>
    <x v="0"/>
    <x v="1"/>
    <s v="Miami-Ft. Lauderdale, Florida"/>
    <s v="Florida"/>
    <s v="politico.com"/>
    <s v="Google Ad Manager"/>
    <x v="0"/>
    <n v="22501"/>
    <n v="120"/>
    <n v="13003"/>
    <n v="21286"/>
    <n v="9"/>
    <n v="1522.517949"/>
    <n v="5.3330963068308071E-3"/>
    <n v="7.4999999999999997E-2"/>
    <n v="169.16866100000001"/>
    <n v="67.664457090795963"/>
    <n v="0.61087099502020104"/>
    <n v="117.0897445974006"/>
  </r>
  <r>
    <s v="OnAudience ¬ª Interest ¬ª News"/>
    <x v="1"/>
    <x v="3"/>
    <s v="Grand Rapids-Kalamazoo, Michigan"/>
    <s v="Michigan"/>
    <s v="outlook.live.com"/>
    <s v="Google Ad Manager"/>
    <x v="1"/>
    <n v="42833"/>
    <n v="120"/>
    <n v="37438"/>
    <n v="40447"/>
    <n v="9"/>
    <n v="2040.9348190000001"/>
    <n v="2.8015782223986181E-3"/>
    <n v="7.4999999999999997E-2"/>
    <n v="226.77053544444445"/>
    <n v="47.648654518712213"/>
    <n v="0.92560634904937322"/>
    <n v="54.515060072653455"/>
  </r>
  <r>
    <s v="Online Behavior&gt;United States&gt;Validated Demographic ¬ª Gender and Age Combined&gt;Females 55-64"/>
    <x v="0"/>
    <x v="0"/>
    <s v="Los Angeles, California"/>
    <s v="California"/>
    <s v="news.yahoo.com"/>
    <s v="Google Ad Manager"/>
    <x v="1"/>
    <n v="52006"/>
    <n v="160"/>
    <n v="24711"/>
    <n v="48019"/>
    <n v="12"/>
    <n v="5200.0101180000001"/>
    <n v="3.0765680882975043E-3"/>
    <n v="7.4999999999999997E-2"/>
    <n v="433.33417650000001"/>
    <n v="99.988657424143369"/>
    <n v="0.51460880068306292"/>
    <n v="210.43301031929099"/>
  </r>
  <r>
    <s v="Online Behavior&gt;United States&gt;Beauty and Fitness&gt;Fitness ¬ª Bodybuilding"/>
    <x v="0"/>
    <x v="3"/>
    <s v="West Palm Beach-Ft. Pierce, Florida"/>
    <s v="Florida"/>
    <s v="pandora.com"/>
    <s v="Magnite DV+"/>
    <x v="1"/>
    <n v="57168"/>
    <n v="160"/>
    <n v="43261"/>
    <n v="55261"/>
    <n v="12"/>
    <n v="5841.1513599999998"/>
    <n v="2.7987685418415899E-3"/>
    <n v="7.4999999999999997E-2"/>
    <n v="486.76261333333332"/>
    <n v="102.17519171564511"/>
    <n v="0.78284866361448402"/>
    <n v="135.02118212708905"/>
  </r>
  <r>
    <s v="OnAudience ¬ª Intent ¬ª Electronics ¬ª Video Game Consoles"/>
    <x v="1"/>
    <x v="2"/>
    <s v="Chicago, Illinois"/>
    <s v="Illinois"/>
    <s v="reuters.com"/>
    <s v="Taboola"/>
    <x v="1"/>
    <n v="16791"/>
    <n v="40"/>
    <n v="11402"/>
    <n v="14231"/>
    <n v="3"/>
    <n v="1522.5122719999999"/>
    <n v="2.3822285748317552E-3"/>
    <n v="7.4999999999999997E-2"/>
    <n v="507.50409066666663"/>
    <n v="90.674305997260433"/>
    <n v="0.80120862904925871"/>
    <n v="133.53028170496404"/>
  </r>
  <r>
    <s v="US ¬ª Reach ¬ª Propensity Models ¬ª Finance ¬ª Credit ¬ª Debit Card ¬ª Major Credit Card User"/>
    <x v="1"/>
    <x v="1"/>
    <s v="Chicago, Illinois"/>
    <s v="Illinois"/>
    <s v="m.timesofindia.com"/>
    <s v="BidSwitch"/>
    <x v="1"/>
    <n v="12868"/>
    <n v="80"/>
    <n v="6472"/>
    <n v="11922"/>
    <n v="6"/>
    <n v="3137.143043"/>
    <n v="6.2169723344731118E-3"/>
    <n v="7.4999999999999997E-2"/>
    <n v="522.85717383333338"/>
    <n v="243.7941438451974"/>
    <n v="0.54286193591679244"/>
    <n v="484.72543927688503"/>
  </r>
  <r>
    <s v="Mobile - US ¬ª Sports ¬ª Basketball ¬ª NCAA College Basketball"/>
    <x v="0"/>
    <x v="0"/>
    <s v="New York City, New York"/>
    <s v="New York"/>
    <s v="wizofawes.com"/>
    <s v="Magnite DV+"/>
    <x v="1"/>
    <n v="13642"/>
    <n v="40"/>
    <n v="9830"/>
    <n v="11658"/>
    <n v="3"/>
    <n v="1731.2718480000001"/>
    <n v="2.9321213898255388E-3"/>
    <n v="7.4999999999999997E-2"/>
    <n v="577.09061600000007"/>
    <n v="126.90748042808974"/>
    <n v="0.84319780408303313"/>
    <n v="176.1212459816887"/>
  </r>
  <r>
    <s v="US ¬ª Interest Propensities ¬ª Oil &amp; Gas ¬ª QuickTrip"/>
    <x v="1"/>
    <x v="0"/>
    <s v="Huntsville-Decatur (Florence), Alabama"/>
    <s v="Alabama"/>
    <s v="cargurus.com"/>
    <s v="Index Exchange"/>
    <x v="1"/>
    <n v="16227"/>
    <n v="40"/>
    <n v="9438"/>
    <n v="15611"/>
    <n v="3"/>
    <n v="1991.9438399999999"/>
    <n v="2.4650274234300855E-3"/>
    <n v="7.4999999999999997E-2"/>
    <n v="663.98127999999997"/>
    <n v="122.75490478831576"/>
    <n v="0.60457369803343797"/>
    <n v="211.05571519389699"/>
  </r>
  <r>
    <s v="US ¬ª Brand Propensities ¬ª Apparel ¬ª TOMS Buyer Propensity"/>
    <x v="0"/>
    <x v="3"/>
    <s v="New York City, New York"/>
    <s v="New York"/>
    <s v="outlook.live.com"/>
    <s v="Google Ad Manager"/>
    <x v="2"/>
    <n v="50183"/>
    <n v="199"/>
    <n v="41506"/>
    <n v="46163"/>
    <n v="15"/>
    <n v="1628.8828129999999"/>
    <n v="3.9654863200685488E-3"/>
    <n v="7.5376884422110546E-2"/>
    <n v="108.59218753333333"/>
    <n v="32.458856843951139"/>
    <n v="0.89911834152893011"/>
    <n v="39.244514359369724"/>
  </r>
  <r>
    <s v="Online Behavior&gt;United States&gt;Autos and Vehicles ¬ª Brands&gt;Acura"/>
    <x v="0"/>
    <x v="0"/>
    <s v="New York City, New York"/>
    <s v="New York"/>
    <s v="mail.aol.com"/>
    <s v="Google Ad Manager"/>
    <x v="0"/>
    <n v="83854"/>
    <n v="197"/>
    <n v="60626"/>
    <n v="76071"/>
    <n v="15"/>
    <n v="5783.843758"/>
    <n v="2.3493214396450974E-3"/>
    <n v="7.6142131979695438E-2"/>
    <n v="385.58958386666666"/>
    <n v="68.975168244806454"/>
    <n v="0.7969659922966702"/>
    <n v="95.402034737571341"/>
  </r>
  <r>
    <s v="Online Behavior&gt;United States&gt;Finance ¬ª Banking&gt;Savings Accounts"/>
    <x v="0"/>
    <x v="0"/>
    <s v="Chicago, Illinois"/>
    <s v="Illinois"/>
    <s v="the-sun.com"/>
    <s v="Google Ad Manager"/>
    <x v="1"/>
    <n v="357707"/>
    <n v="951"/>
    <n v="203987"/>
    <n v="338107"/>
    <n v="74"/>
    <n v="6749.2023529999997"/>
    <n v="2.6586004746901792E-3"/>
    <n v="7.7812828601472137E-2"/>
    <n v="91.205437202702697"/>
    <n v="18.867962754433098"/>
    <n v="0.60332084221858762"/>
    <n v="33.086433709010869"/>
  </r>
  <r>
    <s v="Online Behavior&gt;United States&gt;Travel&gt;Travel Agencies and Services ¬ª Tourist Boards and Visitor Centers"/>
    <x v="1"/>
    <x v="1"/>
    <s v="Ft. Wayne, Indiana"/>
    <s v="Indiana"/>
    <s v="nbcnews.com"/>
    <s v="Magnite DV+"/>
    <x v="1"/>
    <n v="189571"/>
    <n v="500"/>
    <n v="130676"/>
    <n v="183688"/>
    <n v="39"/>
    <n v="6335.9483879999998"/>
    <n v="2.6375342220065303E-3"/>
    <n v="7.8E-2"/>
    <n v="162.46021507692308"/>
    <n v="33.422561404434219"/>
    <n v="0.71140194242411048"/>
    <n v="48.485937647310898"/>
  </r>
  <r>
    <s v="US Mail Order Buyer"/>
    <x v="1"/>
    <x v="0"/>
    <s v="New York City, New York"/>
    <s v="New York"/>
    <s v="weather.com"/>
    <s v="Google Ad Manager"/>
    <x v="1"/>
    <n v="78433"/>
    <n v="204"/>
    <n v="24067"/>
    <n v="58308"/>
    <n v="16"/>
    <n v="1612.5493269999999"/>
    <n v="2.6009460303698696E-3"/>
    <n v="7.8431372549019607E-2"/>
    <n v="100.7843329375"/>
    <n v="20.559577308020856"/>
    <n v="0.41275639706386774"/>
    <n v="67.002506627332039"/>
  </r>
  <r>
    <s v="US ¬ª Brand Propensities ¬ª Automotive ¬ª Ford Credit Buyer Propensity"/>
    <x v="1"/>
    <x v="0"/>
    <s v="Jacksonville, Florida"/>
    <s v="Florida"/>
    <s v="zillow.com"/>
    <s v="Google Ad Manager"/>
    <x v="1"/>
    <n v="304377"/>
    <n v="801"/>
    <n v="27519"/>
    <n v="270098"/>
    <n v="63"/>
    <n v="1595.48714"/>
    <n v="2.6316048847317636E-3"/>
    <n v="7.8651685393258425E-2"/>
    <n v="25.325192698412696"/>
    <n v="5.2418124234091268"/>
    <n v="0.10188524165302965"/>
    <n v="57.977656891602159"/>
  </r>
  <r>
    <s v="Mobile - US ¬ª Demographics ¬ª Education ¬ª High Education Achievement"/>
    <x v="0"/>
    <x v="1"/>
    <s v="Los Angeles, California"/>
    <s v="California"/>
    <s v="yahoo.com"/>
    <s v="Google Ad Manager"/>
    <x v="0"/>
    <n v="74164"/>
    <n v="241"/>
    <n v="25104"/>
    <n v="61242"/>
    <n v="19"/>
    <n v="1902.3014430000001"/>
    <n v="3.2495550401812198E-3"/>
    <n v="7.8838174273858919E-2"/>
    <n v="100.12112857894738"/>
    <n v="25.649930464915592"/>
    <n v="0.40991476437738805"/>
    <n v="75.776826123326956"/>
  </r>
  <r>
    <s v="Online Behavior&gt;United States&gt;Hobbies and Leisure&gt;Crafts"/>
    <x v="1"/>
    <x v="0"/>
    <s v="Grand Rapids-Kalamazoo, Michigan"/>
    <s v="Michigan"/>
    <s v="news.yahoo.com"/>
    <s v="TripleLift"/>
    <x v="1"/>
    <n v="41513"/>
    <n v="113"/>
    <n v="20872"/>
    <n v="39250"/>
    <n v="9"/>
    <n v="6789.5334009999997"/>
    <n v="2.7220388793871798E-3"/>
    <n v="7.9646017699115043E-2"/>
    <n v="754.39260011111105"/>
    <n v="163.55198133114928"/>
    <n v="0.53177070063694265"/>
    <n v="325.29385784783437"/>
  </r>
  <r>
    <s v="OnAudience ¬ª Intent ¬ª Software ¬ª Video Game Software"/>
    <x v="0"/>
    <x v="1"/>
    <s v="San Francisco, California"/>
    <s v="California"/>
    <s v="activebeat.com"/>
    <s v="Google Ad Manager"/>
    <x v="0"/>
    <n v="76439"/>
    <n v="100"/>
    <n v="58269"/>
    <n v="66924"/>
    <n v="8"/>
    <n v="1524.8102240000001"/>
    <n v="1.3082327084341762E-3"/>
    <n v="0.08"/>
    <n v="190.60127800000001"/>
    <n v="19.948066091916434"/>
    <n v="0.87067419759727449"/>
    <n v="26.168463917348852"/>
  </r>
  <r>
    <s v="US ¬ª Sociodemographic ¬ª P$YCLE Premier Lifestage ¬ª M2 Wealthy Achievers"/>
    <x v="1"/>
    <x v="3"/>
    <s v="San Francisco, California"/>
    <s v="California"/>
    <s v="dailymail.co.uk/tvshowbiz"/>
    <s v="Google Ad Manager"/>
    <x v="1"/>
    <n v="11025"/>
    <n v="50"/>
    <n v="7974"/>
    <n v="10311"/>
    <n v="4"/>
    <n v="1657.159766"/>
    <n v="4.5351473922902496E-3"/>
    <n v="0.08"/>
    <n v="414.2899415"/>
    <n v="150.30927582766438"/>
    <n v="0.77334885074192605"/>
    <n v="207.82038700777528"/>
  </r>
  <r>
    <s v="Online Behavior&gt;United States&gt;Validated Demographic ¬ª Gender and Age Combined&gt;Females 45-54"/>
    <x v="1"/>
    <x v="0"/>
    <s v="Los Angeles, California"/>
    <s v="California"/>
    <s v="cbsnews.com"/>
    <s v="Google Ad Manager"/>
    <x v="1"/>
    <n v="43117"/>
    <n v="100"/>
    <n v="6478"/>
    <n v="27405"/>
    <n v="8"/>
    <n v="4250.4304389999998"/>
    <n v="2.3192708212537976E-3"/>
    <n v="0.08"/>
    <n v="531.30380487499997"/>
    <n v="98.578992949416701"/>
    <n v="0.23638022258711913"/>
    <n v="656.13313352886678"/>
  </r>
  <r>
    <s v="Online Behavior&gt;United States&gt;Intent ¬ª Shopping&gt;Consumer Electronics ¬ª Video Game Consoles"/>
    <x v="0"/>
    <x v="3"/>
    <s v="Chicago, Illinois"/>
    <s v="Illinois"/>
    <s v="factinate.com"/>
    <s v="Magnite DV+"/>
    <x v="2"/>
    <n v="39314"/>
    <n v="100"/>
    <n v="27671"/>
    <n v="35488"/>
    <n v="8"/>
    <n v="5530.8004579999997"/>
    <n v="2.5436231367960524E-3"/>
    <n v="0.08"/>
    <n v="691.35005724999996"/>
    <n v="140.68272009971002"/>
    <n v="0.77972835888187553"/>
    <n v="199.87714423042172"/>
  </r>
  <r>
    <s v="Online Behavior&gt;United States&gt;Finance ¬ª Insurance&gt;Health Insurance"/>
    <x v="1"/>
    <x v="1"/>
    <s v="San Francisco, California"/>
    <s v="California"/>
    <s v="myfitnesspal.com"/>
    <s v="PubMatic"/>
    <x v="1"/>
    <n v="39881"/>
    <n v="125"/>
    <n v="6331"/>
    <n v="36245"/>
    <n v="10"/>
    <n v="7098.8897059999999"/>
    <n v="3.1343246157318023E-3"/>
    <n v="0.08"/>
    <n v="709.88897059999999"/>
    <n v="178.00179799904717"/>
    <n v="0.17467236860256588"/>
    <n v="1121.2904290001579"/>
  </r>
  <r>
    <s v="Online Behavior&gt;United States&gt;Autos and Vehicles ¬ª Brands&gt;Vauxhall-Opel"/>
    <x v="2"/>
    <x v="1"/>
    <s v="Los Angeles, California"/>
    <s v="California"/>
    <s v="wsmv.com"/>
    <s v="Google Ad Manager"/>
    <x v="1"/>
    <n v="17382"/>
    <n v="100"/>
    <n v="7411"/>
    <n v="16576"/>
    <n v="8"/>
    <n v="5797.2199769999997"/>
    <n v="5.7530778966747211E-3"/>
    <n v="0.08"/>
    <n v="724.65249712499997"/>
    <n v="333.51858111839829"/>
    <n v="0.44709218146718149"/>
    <n v="782.24530792065843"/>
  </r>
  <r>
    <s v="Mobile - US ¬ª Device Ownership ¬ª Smartphones ¬ª Vivo"/>
    <x v="2"/>
    <x v="0"/>
    <s v="Los Angeles, California"/>
    <s v="California"/>
    <s v="jdpower.com"/>
    <s v="Google Ad Manager"/>
    <x v="1"/>
    <n v="9178"/>
    <n v="25"/>
    <n v="4644"/>
    <n v="8462"/>
    <n v="2"/>
    <n v="1503.205183"/>
    <n v="2.7239049901939421E-3"/>
    <n v="0.08"/>
    <n v="751.60259150000002"/>
    <n v="163.78352397036392"/>
    <n v="0.54880642874025054"/>
    <n v="323.6875932385874"/>
  </r>
  <r>
    <s v="Online Behavior&gt;United States&gt;Validated Demographic ¬ª Gender and Age Combined&gt;Males 18-44"/>
    <x v="0"/>
    <x v="3"/>
    <s v="Chicago, Illinois"/>
    <s v="Illinois"/>
    <s v="realtor.com"/>
    <s v="BidSwitch"/>
    <x v="2"/>
    <n v="10815"/>
    <n v="25"/>
    <n v="4321"/>
    <n v="9646"/>
    <n v="2"/>
    <n v="4921.5948429999999"/>
    <n v="2.3116042533518262E-3"/>
    <n v="0.08"/>
    <n v="2460.7974214999999"/>
    <n v="455.07118289412853"/>
    <n v="0.44795770267468382"/>
    <n v="1138.994409395973"/>
  </r>
  <r>
    <s v="Online Behavior&gt;United States&gt;The Changing Consumer&gt;Active Facebook Users"/>
    <x v="0"/>
    <x v="1"/>
    <s v="San Francisco, California"/>
    <s v="California"/>
    <s v="finance.yahoo.com"/>
    <s v="Google Ad Manager"/>
    <x v="0"/>
    <n v="127090"/>
    <n v="299"/>
    <n v="30178"/>
    <n v="113438"/>
    <n v="24"/>
    <n v="5808.9112539999996"/>
    <n v="2.3526634668345268E-3"/>
    <n v="8.0267558528428096E-2"/>
    <n v="242.03796891666664"/>
    <n v="45.707067857423866"/>
    <n v="0.26603078333539026"/>
    <n v="192.48827801709854"/>
  </r>
  <r>
    <s v="OnAudience ¬ª Interest ¬ª Arts &amp; Entertainment ¬ª Movies"/>
    <x v="0"/>
    <x v="0"/>
    <s v="Grand Rapids-Kalamazoo, Michigan"/>
    <s v="Michigan"/>
    <s v="realtor.com"/>
    <s v="BidSwitch"/>
    <x v="1"/>
    <n v="30714"/>
    <n v="111"/>
    <n v="12531"/>
    <n v="28461"/>
    <n v="9"/>
    <n v="1503.4843109999999"/>
    <n v="3.6139871068568081E-3"/>
    <n v="8.1081081081081086E-2"/>
    <n v="167.05381233333333"/>
    <n v="48.951107345184603"/>
    <n v="0.44028670812691051"/>
    <n v="119.98119152501795"/>
  </r>
  <r>
    <s v="US ¬ª Demographic ¬ª Family ¬ª Male Head of Household"/>
    <x v="1"/>
    <x v="2"/>
    <s v="Miami-Ft. Lauderdale, Florida"/>
    <s v="Florida"/>
    <s v="slickdeals.net"/>
    <s v="BidSwitch"/>
    <x v="1"/>
    <n v="12510"/>
    <n v="74"/>
    <n v="4391"/>
    <n v="9098"/>
    <n v="6"/>
    <n v="1524.470523"/>
    <n v="5.915267785771383E-3"/>
    <n v="8.1081081081081086E-2"/>
    <n v="254.07842049999999"/>
    <n v="121.86015371702638"/>
    <n v="0.48263354583424928"/>
    <n v="347.18071578228194"/>
  </r>
  <r>
    <s v="Online Behavior&gt;United States&gt;Intent ¬ª Services&gt;Restaurants"/>
    <x v="0"/>
    <x v="2"/>
    <s v="San Francisco, California"/>
    <s v="California"/>
    <s v="weather.com"/>
    <s v="Google Ad Manager"/>
    <x v="2"/>
    <n v="29856"/>
    <n v="111"/>
    <n v="7664"/>
    <n v="21698"/>
    <n v="9"/>
    <n v="4851.3944460000002"/>
    <n v="3.7178456591639873E-3"/>
    <n v="8.1081081081081086E-2"/>
    <n v="539.04382733333341"/>
    <n v="162.49311515273311"/>
    <n v="0.3532122776292746"/>
    <n v="633.01075756784974"/>
  </r>
  <r>
    <s v="Travel and Tourism ¬ª In-Market"/>
    <x v="0"/>
    <x v="2"/>
    <s v="Chicago, Illinois"/>
    <s v="Illinois"/>
    <s v="realtor.com"/>
    <s v="Google Ad Manager"/>
    <x v="2"/>
    <n v="48892"/>
    <n v="110"/>
    <n v="32060"/>
    <n v="45251"/>
    <n v="9"/>
    <n v="1978.609661"/>
    <n v="2.2498568272928086E-3"/>
    <n v="8.1818181818181818E-2"/>
    <n v="219.84551788888888"/>
    <n v="40.468985948621452"/>
    <n v="0.70849262999712714"/>
    <n v="61.715834716157204"/>
  </r>
  <r>
    <s v="US ¬ª Reach ¬ª Propensity Models ¬ª Lifestyle ¬ª Charities ¬ª Contributes by Volunteering"/>
    <x v="2"/>
    <x v="0"/>
    <s v="San Francisco, California"/>
    <s v="California"/>
    <s v="sneakertoast.com"/>
    <s v="PubMatic"/>
    <x v="1"/>
    <n v="15475"/>
    <n v="110"/>
    <n v="6019"/>
    <n v="10952"/>
    <n v="9"/>
    <n v="4156.7133830000002"/>
    <n v="7.1082390953150238E-3"/>
    <n v="8.1818181818181818E-2"/>
    <n v="461.85704255555561"/>
    <n v="268.60829615508885"/>
    <n v="0.54957998539079622"/>
    <n v="690.59866805117133"/>
  </r>
  <r>
    <s v="US ¬ª Reach ¬ª Sociodemographic ¬ª Homeowner Status ¬ª Renter"/>
    <x v="1"/>
    <x v="1"/>
    <s v="Knoxville, Tennessee"/>
    <s v="Tennessee"/>
    <s v="foxnews.com"/>
    <s v="Google Ad Manager"/>
    <x v="1"/>
    <n v="70134"/>
    <n v="169"/>
    <n v="48862"/>
    <n v="66739"/>
    <n v="14"/>
    <n v="2514.8681160000001"/>
    <n v="2.4096729118544499E-3"/>
    <n v="8.2840236686390539E-2"/>
    <n v="179.63343685714287"/>
    <n v="35.858044828471215"/>
    <n v="0.73213563283837035"/>
    <n v="51.46879202652368"/>
  </r>
  <r>
    <s v="Online Behavior&gt;United States&gt;Intent ¬ª Shopping&gt;Wireless Providers"/>
    <x v="0"/>
    <x v="3"/>
    <s v="Los Angeles, California"/>
    <s v="California"/>
    <s v="milb.com"/>
    <s v="Google Ad Manager"/>
    <x v="2"/>
    <n v="39725"/>
    <n v="144"/>
    <n v="5402"/>
    <n v="36080"/>
    <n v="12"/>
    <n v="6431.5551519999999"/>
    <n v="3.6249213341724355E-3"/>
    <n v="8.3333333333333329E-2"/>
    <n v="535.96292933333336"/>
    <n v="161.90195473882943"/>
    <n v="0.14972283813747228"/>
    <n v="1190.5877734172527"/>
  </r>
  <r>
    <s v="Online Behavior&gt;United States&gt;Intent ¬ª Auto Buyers ¬ª Car Make&gt;Mazda"/>
    <x v="0"/>
    <x v="3"/>
    <s v="Miami-Ft. Lauderdale, Florida"/>
    <s v="Florida"/>
    <s v="iflscience.com"/>
    <s v="Google Ad Manager"/>
    <x v="1"/>
    <n v="11672"/>
    <n v="84"/>
    <n v="7619"/>
    <n v="9999"/>
    <n v="7"/>
    <n v="5284.2770399999999"/>
    <n v="7.1967100753941053E-3"/>
    <n v="8.3333333333333329E-2"/>
    <n v="754.89671999999996"/>
    <n v="452.73106922549687"/>
    <n v="0.76197619761976199"/>
    <n v="693.5656962856018"/>
  </r>
  <r>
    <s v="US ¬ª B2B ¬ª B2B Decision Maker Responsibilities ¬ª Real Estate Services"/>
    <x v="0"/>
    <x v="3"/>
    <s v="Jacksonville, Florida"/>
    <s v="Florida"/>
    <s v="zillow.com"/>
    <s v="BidSwitch"/>
    <x v="1"/>
    <n v="9790"/>
    <n v="24"/>
    <n v="1295"/>
    <n v="9196"/>
    <n v="2"/>
    <n v="1532.1488810000001"/>
    <n v="2.4514811031664963E-3"/>
    <n v="8.3333333333333329E-2"/>
    <n v="766.07444050000004"/>
    <n v="156.50141787538305"/>
    <n v="0.14082209656372335"/>
    <n v="1183.1265490347491"/>
  </r>
  <r>
    <s v="Online Behavior&gt;United States&gt;Intent ¬ª Auto Buyers ¬ª Type&gt;Truck"/>
    <x v="0"/>
    <x v="2"/>
    <s v="Tampa-St Petersburg (Sarasota), Florida"/>
    <s v="Florida"/>
    <s v="msn.com"/>
    <s v="BidSwitch"/>
    <x v="1"/>
    <n v="12974"/>
    <n v="84"/>
    <n v="7521"/>
    <n v="10959"/>
    <n v="7"/>
    <n v="6301.8688469999997"/>
    <n v="6.474487436411284E-3"/>
    <n v="8.3333333333333329E-2"/>
    <n v="900.26697814285706"/>
    <n v="485.73060328349004"/>
    <n v="0.68628524500410626"/>
    <n v="837.90305105704033"/>
  </r>
  <r>
    <s v="Online Behavior&gt;United States&gt;The Changing Consumer&gt;Personal Budgeting"/>
    <x v="1"/>
    <x v="1"/>
    <s v="Tri-Cities, Tennessee-Virginia"/>
    <s v="Tennessee-Virginia"/>
    <s v="mapquest.com"/>
    <s v="Magnite DV+"/>
    <x v="1"/>
    <n v="27371"/>
    <n v="60"/>
    <n v="22256"/>
    <n v="25986"/>
    <n v="5"/>
    <n v="4984.4855829999997"/>
    <n v="2.1921011289320813E-3"/>
    <n v="8.3333333333333329E-2"/>
    <n v="996.89711659999989"/>
    <n v="182.10827456066639"/>
    <n v="0.85646117139998457"/>
    <n v="223.96142986161033"/>
  </r>
  <r>
    <s v="Online Behavior&gt;United States&gt;Sports&gt;Winter Sports ¬ª Skiing and Snowboarding"/>
    <x v="1"/>
    <x v="3"/>
    <s v="Knoxville, Tennessee"/>
    <s v="Tennessee"/>
    <s v="calculator.net"/>
    <s v="Google Ad Manager"/>
    <x v="1"/>
    <n v="29251"/>
    <n v="95"/>
    <n v="25060"/>
    <n v="28038"/>
    <n v="8"/>
    <n v="5994.7468339999996"/>
    <n v="3.2477522135995352E-3"/>
    <n v="8.4210526315789472E-2"/>
    <n v="749.34335424999995"/>
    <n v="204.94160315886634"/>
    <n v="0.89378700335259287"/>
    <n v="239.21575554668794"/>
  </r>
  <r>
    <s v="Transactional ¬ª Q3 Home Entertainers"/>
    <x v="1"/>
    <x v="0"/>
    <s v="Los Angeles, California"/>
    <s v="California"/>
    <s v="mail.yahoo.com"/>
    <s v="PubMatic"/>
    <x v="1"/>
    <n v="50838"/>
    <n v="130"/>
    <n v="23274"/>
    <n v="35934"/>
    <n v="11"/>
    <n v="1521.372273"/>
    <n v="2.5571422951335613E-3"/>
    <n v="8.461538461538462E-2"/>
    <n v="138.30657027272727"/>
    <n v="29.925887584090638"/>
    <n v="0.64768742694940729"/>
    <n v="65.367890048981693"/>
  </r>
  <r>
    <s v="Online Behavior&gt;United States&gt;Travel&gt;Bus and Rail"/>
    <x v="0"/>
    <x v="2"/>
    <s v="New York City, New York"/>
    <s v="New York"/>
    <s v="cars.com"/>
    <s v="BidSwitch"/>
    <x v="0"/>
    <n v="45711"/>
    <n v="130"/>
    <n v="23052"/>
    <n v="42375"/>
    <n v="11"/>
    <n v="6417.8761690000001"/>
    <n v="2.8439544092231628E-3"/>
    <n v="8.461538461538462E-2"/>
    <n v="583.44328809090905"/>
    <n v="140.40113252827547"/>
    <n v="0.54400000000000004"/>
    <n v="278.40864866389035"/>
  </r>
  <r>
    <s v="US ¬ª Demo ¬ª Age ¬ª 65+"/>
    <x v="1"/>
    <x v="2"/>
    <s v="Nashville, Tennessee"/>
    <s v="Tennessee"/>
    <s v="msn.com"/>
    <s v="Google Ad Manager"/>
    <x v="1"/>
    <n v="58738"/>
    <n v="165"/>
    <n v="33538"/>
    <n v="47535"/>
    <n v="14"/>
    <n v="2801.584386"/>
    <n v="2.8090844087302939E-3"/>
    <n v="8.4848484848484854E-2"/>
    <n v="200.11317042857144"/>
    <n v="47.696284960332321"/>
    <n v="0.70554328389607657"/>
    <n v="83.534628958196677"/>
  </r>
  <r>
    <s v="US ¬ª Sociodemographic ¬ª PRIZM Premier Lifestage ¬ª F2 Young Accumulators"/>
    <x v="2"/>
    <x v="0"/>
    <s v="New York City, New York"/>
    <s v="New York"/>
    <s v="w3schools.com"/>
    <s v="Index Exchange"/>
    <x v="1"/>
    <n v="72117"/>
    <n v="187"/>
    <n v="9807"/>
    <n v="68568"/>
    <n v="16"/>
    <n v="1702.3172059999999"/>
    <n v="2.5930085832744014E-3"/>
    <n v="8.5561497326203204E-2"/>
    <n v="106.394825375"/>
    <n v="23.604936505955596"/>
    <n v="0.14302590129506476"/>
    <n v="173.58185031100234"/>
  </r>
  <r>
    <s v="Online Behavior&gt;United States&gt;Food and Drink&gt;Food and Grocery Retailers"/>
    <x v="1"/>
    <x v="0"/>
    <s v="Ft. Wayne, Indiana"/>
    <s v="Indiana"/>
    <s v="drugs.com"/>
    <s v="Google Ad Manager"/>
    <x v="1"/>
    <n v="18412"/>
    <n v="140"/>
    <n v="5668"/>
    <n v="16711"/>
    <n v="12"/>
    <n v="5244.3417399999998"/>
    <n v="7.603736693460786E-3"/>
    <n v="8.5714285714285715E-2"/>
    <n v="437.02847833333334"/>
    <n v="284.83281229632848"/>
    <n v="0.33917778708635032"/>
    <n v="925.25436485532816"/>
  </r>
  <r>
    <s v="Online Behavior&gt;United States&gt;Jobs and Education&gt;Jobs"/>
    <x v="0"/>
    <x v="1"/>
    <s v="Jacksonville, Florida"/>
    <s v="Florida"/>
    <s v="people.com"/>
    <s v="PubMatic"/>
    <x v="1"/>
    <n v="21280"/>
    <n v="70"/>
    <n v="15309"/>
    <n v="20244"/>
    <n v="6"/>
    <n v="6837.5106020000003"/>
    <n v="3.2894736842105261E-3"/>
    <n v="8.5714285714285715E-2"/>
    <n v="1139.5851003333335"/>
    <n v="321.31158843984963"/>
    <n v="0.75622406639004147"/>
    <n v="446.6333922529231"/>
  </r>
  <r>
    <s v="US ¬ª Reach ¬ª Propensity Models ¬ª Hobbies and Interest ¬ª Music ¬ª Streaming"/>
    <x v="1"/>
    <x v="0"/>
    <s v="Chattanooga, Tennessee"/>
    <s v="Tennessee"/>
    <s v="mail.aol.com"/>
    <s v="Magnite DV+"/>
    <x v="1"/>
    <n v="15399"/>
    <n v="35"/>
    <n v="3398"/>
    <n v="4324"/>
    <n v="3"/>
    <n v="3434.7311530000002"/>
    <n v="2.2728748620040261E-3"/>
    <n v="8.5714285714285715E-2"/>
    <n v="1144.9103843333335"/>
    <n v="223.04897415416588"/>
    <n v="0.78584643848288627"/>
    <n v="1010.8096389052384"/>
  </r>
  <r>
    <s v="US ¬ª Interest Propensities ¬ª Music ¬ª Classic Rock"/>
    <x v="0"/>
    <x v="3"/>
    <s v="Chicago, Illinois"/>
    <s v="Illinois"/>
    <s v="screenrant.com"/>
    <s v="Google Ad Manager"/>
    <x v="0"/>
    <n v="62040"/>
    <n v="174"/>
    <n v="43853"/>
    <n v="58642"/>
    <n v="15"/>
    <n v="2139.0657930000002"/>
    <n v="2.8046421663442938E-3"/>
    <n v="8.6206896551724144E-2"/>
    <n v="142.60438620000002"/>
    <n v="34.478816779497102"/>
    <n v="0.74780873776474199"/>
    <n v="48.778094839577683"/>
  </r>
  <r>
    <s v="US ¬ª Reach ¬ª Propensity Models ¬ª Household Consumer Expenditures ¬ª Furniture"/>
    <x v="1"/>
    <x v="0"/>
    <s v="Louisville, Kentucky"/>
    <s v="Kentucky"/>
    <s v="microsoftcasualgames.com"/>
    <s v="PubMatic"/>
    <x v="1"/>
    <n v="68114"/>
    <n v="174"/>
    <n v="569"/>
    <n v="2059"/>
    <n v="15"/>
    <n v="2753.7119859999998"/>
    <n v="2.5545409166984759E-3"/>
    <n v="8.6206896551724144E-2"/>
    <n v="183.58079906666666"/>
    <n v="40.427988166896668"/>
    <n v="0.27634774162214665"/>
    <n v="4839.5641230228466"/>
  </r>
  <r>
    <s v="US ¬ª Reach ¬ª Sociodemographic ¬ª Dwelling Type ¬ª Multi-family Dwelling Unit"/>
    <x v="2"/>
    <x v="2"/>
    <s v="San Francisco, California"/>
    <s v="California"/>
    <s v="activebeat.com"/>
    <s v="BidSwitch"/>
    <x v="1"/>
    <n v="68704"/>
    <n v="185"/>
    <n v="31283"/>
    <n v="59462"/>
    <n v="16"/>
    <n v="1605.5660310000001"/>
    <n v="2.6927107591988822E-3"/>
    <n v="8.6486486486486491E-2"/>
    <n v="100.3478769375"/>
    <n v="23.369323925826738"/>
    <n v="0.52610070296996403"/>
    <n v="51.323914937825656"/>
  </r>
  <r>
    <s v="Online Behavior&gt;United States&gt;Intent ¬ª Financial Intent&gt;Insurance ¬ª Auto"/>
    <x v="1"/>
    <x v="1"/>
    <s v="Tallahassee, Florida-Thomasville, Georgia"/>
    <s v="Florida-Thomasville, Georgia"/>
    <s v="weather.com"/>
    <s v="PubMatic"/>
    <x v="1"/>
    <n v="42884"/>
    <n v="104"/>
    <n v="4345"/>
    <n v="25153"/>
    <n v="9"/>
    <n v="6322.1526549999999"/>
    <n v="2.4251469079376925E-3"/>
    <n v="8.6538461538461536E-2"/>
    <n v="702.46140611111105"/>
    <n v="147.42450925753195"/>
    <n v="0.17274281397845187"/>
    <n v="1455.0408872266974"/>
  </r>
  <r>
    <s v="US Financial ¬ª Likely Credit Card ¬ª Behavior ¬ª Used for Personal Purposes"/>
    <x v="0"/>
    <x v="3"/>
    <s v="Memphis, Tennessee"/>
    <s v="Tennessee"/>
    <s v="slickdeals.net"/>
    <s v="Google Ad Manager"/>
    <x v="1"/>
    <n v="37554"/>
    <n v="92"/>
    <n v="13128"/>
    <n v="27596"/>
    <n v="8"/>
    <n v="1737.8434850000001"/>
    <n v="2.4498056132502529E-3"/>
    <n v="8.6956521739130432E-2"/>
    <n v="217.23043562500001"/>
    <n v="46.275855701123717"/>
    <n v="0.47572111900275404"/>
    <n v="132.37686509750154"/>
  </r>
  <r>
    <s v="US ¬ª Reach ¬ª Propensity Models ¬ª Hobbies and Interest ¬ª Music ¬ª Listens to Pop Music"/>
    <x v="1"/>
    <x v="1"/>
    <s v="San Francisco, California"/>
    <s v="California"/>
    <s v="merriam-webster.com/dictionary"/>
    <s v="Google Ad Manager"/>
    <x v="1"/>
    <n v="18771"/>
    <n v="69"/>
    <n v="10871"/>
    <n v="17138"/>
    <n v="6"/>
    <n v="3827.3663809999998"/>
    <n v="3.6758830110276489E-3"/>
    <n v="8.6956521739130432E-2"/>
    <n v="637.8943968333333"/>
    <n v="203.89784140429384"/>
    <n v="0.63432139106080054"/>
    <n v="352.07123364915833"/>
  </r>
  <r>
    <s v="Online Behavior&gt;United States&gt;Food and Drink&gt;Restaurants ¬ª Fine Dining"/>
    <x v="0"/>
    <x v="2"/>
    <s v="New York City, New York"/>
    <s v="New York"/>
    <s v="thesaurus.com"/>
    <s v="Google Ad Manager"/>
    <x v="0"/>
    <n v="95655"/>
    <n v="275"/>
    <n v="9202"/>
    <n v="85273"/>
    <n v="24"/>
    <n v="6189.4160819999997"/>
    <n v="2.8749150593277927E-3"/>
    <n v="8.727272727272728E-2"/>
    <n v="257.89233674999997"/>
    <n v="64.705620009408804"/>
    <n v="0.10791223482227669"/>
    <n v="672.61639665290147"/>
  </r>
  <r>
    <s v="Online Behavior&gt;United States&gt;Travel&gt;Tourist Destinations ¬ª Regional Parks and Gardens"/>
    <x v="0"/>
    <x v="0"/>
    <s v="Los Angeles, California"/>
    <s v="California"/>
    <s v="cbsnews.com"/>
    <s v="Google Ad Manager"/>
    <x v="0"/>
    <n v="48211"/>
    <n v="160"/>
    <n v="30157"/>
    <n v="43810"/>
    <n v="14"/>
    <n v="6708.4633510000003"/>
    <n v="3.3187446848229659E-3"/>
    <n v="8.7499999999999994E-2"/>
    <n v="479.17595364285717"/>
    <n v="139.1479818091307"/>
    <n v="0.6883588221867154"/>
    <n v="222.45128331730612"/>
  </r>
  <r>
    <s v="Mobile - US ¬ª Travel ¬ª Car Rentals ¬ª Hertz"/>
    <x v="1"/>
    <x v="1"/>
    <s v="Chicago, Illinois"/>
    <s v="Illinois"/>
    <s v="ebay.com"/>
    <s v="BidSwitch"/>
    <x v="1"/>
    <n v="87287"/>
    <n v="203"/>
    <n v="40039"/>
    <n v="80040"/>
    <n v="18"/>
    <n v="1579.367346"/>
    <n v="2.3256613241376149E-3"/>
    <n v="8.8669950738916259E-2"/>
    <n v="87.742630333333338"/>
    <n v="18.09395839013828"/>
    <n v="0.50023738130934536"/>
    <n v="39.445724069032693"/>
  </r>
  <r>
    <s v="Online Behavior&gt;United States&gt;Intent ¬ª Travel&gt;Luxury Travel"/>
    <x v="1"/>
    <x v="1"/>
    <s v="Huntsville-Decatur (Florence), Alabama"/>
    <s v="Alabama"/>
    <s v="seedsgames.com"/>
    <s v="Google Ad Manager"/>
    <x v="1"/>
    <n v="14509"/>
    <n v="90"/>
    <n v="866"/>
    <n v="13268"/>
    <n v="8"/>
    <n v="5521.1891299999997"/>
    <n v="6.2030463850024121E-3"/>
    <n v="8.8888888888888892E-2"/>
    <n v="690.14864124999997"/>
    <n v="380.53546970845679"/>
    <n v="6.52698221284293E-2"/>
    <n v="6375.5070785219395"/>
  </r>
  <r>
    <s v="Online Behavior&gt;United States&gt;Intent ¬ª Auto Buyers ¬ª Car Make&gt;Audi Q"/>
    <x v="0"/>
    <x v="2"/>
    <s v="Grand Rapids-Kalamazoo, Michigan"/>
    <s v="Michigan"/>
    <s v="accuweather.com"/>
    <s v="Xandr - Monetize SSP (AppNexus)"/>
    <x v="1"/>
    <n v="10501"/>
    <n v="90"/>
    <n v="4126"/>
    <n v="7654"/>
    <n v="8"/>
    <n v="6244.5179209999997"/>
    <n v="8.5706123226359388E-3"/>
    <n v="8.8888888888888892E-2"/>
    <n v="780.56474012499996"/>
    <n v="594.65935825159511"/>
    <n v="0.53906454141625293"/>
    <n v="1513.4556279689773"/>
  </r>
  <r>
    <s v="Online Behavior&gt;United States&gt;Finance ¬ª Financial Planning and Management&gt;Asset and Portfolio Management"/>
    <x v="0"/>
    <x v="0"/>
    <s v="Chicago, Illinois"/>
    <s v="Illinois"/>
    <s v="culturess.com"/>
    <s v="Google Ad Manager"/>
    <x v="1"/>
    <n v="9328"/>
    <n v="56"/>
    <n v="7102"/>
    <n v="8925"/>
    <n v="5"/>
    <n v="3408.0760489999998"/>
    <n v="6.0034305317324182E-3"/>
    <n v="8.9285714285714288E-2"/>
    <n v="681.6152098"/>
    <n v="365.35978226843912"/>
    <n v="0.79574229691876752"/>
    <n v="479.87553491974086"/>
  </r>
  <r>
    <s v="US ¬ª Reach ¬ª Propensity Models ¬ª Hobbies and Interest ¬ª Sports ¬ª Plays Tennis"/>
    <x v="0"/>
    <x v="2"/>
    <s v="New York City, New York"/>
    <s v="New York"/>
    <s v="rollingstone.com"/>
    <s v="Google Ad Manager"/>
    <x v="0"/>
    <n v="33650"/>
    <n v="100"/>
    <n v="15621"/>
    <n v="32539"/>
    <n v="9"/>
    <n v="3844.9911649999999"/>
    <n v="2.9717682020802376E-3"/>
    <n v="0.09"/>
    <n v="427.22124055555554"/>
    <n v="114.26422481426449"/>
    <n v="0.48007006976243893"/>
    <n v="246.14244702643876"/>
  </r>
  <r>
    <s v="Mobile Audience ¬ª Lifestyle ¬ª Arts Enthusiasts"/>
    <x v="0"/>
    <x v="3"/>
    <s v="Miami-Ft. Lauderdale, Florida"/>
    <s v="Florida"/>
    <s v="weather.com"/>
    <s v="PubMatic"/>
    <x v="1"/>
    <n v="40519"/>
    <n v="111"/>
    <n v="6105"/>
    <n v="26283"/>
    <n v="10"/>
    <n v="1582.410977"/>
    <n v="2.7394555640563685E-3"/>
    <n v="9.0090090090090086E-2"/>
    <n v="158.24109770000001"/>
    <n v="39.053554554653374"/>
    <n v="0.23227942015751626"/>
    <n v="259.19917723177724"/>
  </r>
  <r>
    <s v="OnAudience ¬ª Interest ¬ª Technology &amp; Computing"/>
    <x v="2"/>
    <x v="3"/>
    <s v="Flint-Saginaw-Bay City, Michigan"/>
    <s v="Michigan"/>
    <s v="wunderground.com"/>
    <s v="PubMatic"/>
    <x v="1"/>
    <n v="23410"/>
    <n v="66"/>
    <n v="13626"/>
    <n v="22109"/>
    <n v="6"/>
    <n v="1930.180523"/>
    <n v="2.8193079880392993E-3"/>
    <n v="9.0909090909090912E-2"/>
    <n v="321.69675383333333"/>
    <n v="82.451111618966252"/>
    <n v="0.61631009995929265"/>
    <n v="141.65422890063115"/>
  </r>
  <r>
    <s v="US ¬ª Premium Gender ¬ª Premium Gender ¬ª Males"/>
    <x v="1"/>
    <x v="1"/>
    <s v="Chicago, Illinois"/>
    <s v="Illinois"/>
    <s v="behindthevoiceactors.com"/>
    <s v="Google Ad Manager"/>
    <x v="1"/>
    <n v="15322"/>
    <n v="55"/>
    <n v="6416"/>
    <n v="14049"/>
    <n v="5"/>
    <n v="1850.464205"/>
    <n v="3.5896097115259104E-3"/>
    <n v="9.0909090909090912E-2"/>
    <n v="370.09284100000002"/>
    <n v="120.77171420180133"/>
    <n v="0.45668730870524593"/>
    <n v="288.41399703865341"/>
  </r>
  <r>
    <s v="Online Behavior&gt;United States&gt;Intent ¬ª Auto Buyers ¬ª Car Make&gt;Mercedes"/>
    <x v="1"/>
    <x v="0"/>
    <s v="Lansing, Michigan"/>
    <s v="Michigan"/>
    <s v="realtor.com"/>
    <s v="Index Exchange"/>
    <x v="1"/>
    <n v="42459"/>
    <n v="121"/>
    <n v="15187"/>
    <n v="37408"/>
    <n v="11"/>
    <n v="6321.4916890000004"/>
    <n v="2.8498080501189382E-3"/>
    <n v="9.0909090909090912E-2"/>
    <n v="574.68106263636366"/>
    <n v="148.88461077745589"/>
    <n v="0.40598267750213857"/>
    <n v="416.24360894185816"/>
  </r>
  <r>
    <s v="Online Behavior&gt;United States&gt;Online Communities&gt;Dating and Personals"/>
    <x v="1"/>
    <x v="1"/>
    <s v="Nashville, Tennessee"/>
    <s v="Tennessee"/>
    <s v="weather.com"/>
    <s v="Google Ad Manager"/>
    <x v="1"/>
    <n v="39844"/>
    <n v="99"/>
    <n v="11077"/>
    <n v="30190"/>
    <n v="9"/>
    <n v="6367.8699290000004"/>
    <n v="2.4846902921393434E-3"/>
    <n v="9.0909090909090912E-2"/>
    <n v="707.54110322222232"/>
    <n v="159.82004640598333"/>
    <n v="0.36690957270619412"/>
    <n v="574.87315419337369"/>
  </r>
  <r>
    <s v="Online Behavior&gt;United States&gt;Games&gt;Card Games"/>
    <x v="1"/>
    <x v="3"/>
    <s v="San Francisco, California"/>
    <s v="California"/>
    <s v="boattrader.com"/>
    <s v="Google Ad Manager"/>
    <x v="1"/>
    <n v="11511"/>
    <n v="33"/>
    <n v="8268"/>
    <n v="11042"/>
    <n v="3"/>
    <n v="6815.7123250000004"/>
    <n v="2.8668230388324213E-3"/>
    <n v="9.0909090909090912E-2"/>
    <n v="2271.9041083333336"/>
    <n v="592.10427634436633"/>
    <n v="0.74877739539938415"/>
    <n v="824.34837022254476"/>
  </r>
  <r>
    <s v="Online Behavior&gt;United States&gt;Validated Demographic ¬ª Gender&gt;Male"/>
    <x v="1"/>
    <x v="1"/>
    <s v="San Francisco, California"/>
    <s v="California"/>
    <s v="kbb.com"/>
    <s v="Google Ad Manager"/>
    <x v="1"/>
    <n v="48947"/>
    <n v="230"/>
    <n v="32089"/>
    <n v="45597"/>
    <n v="21"/>
    <n v="5702.2902649999996"/>
    <n v="4.698960099699675E-3"/>
    <n v="9.1304347826086957E-2"/>
    <n v="271.53763166666664"/>
    <n v="116.49928013974298"/>
    <n v="0.70375243985349911"/>
    <n v="177.70233615880829"/>
  </r>
  <r>
    <s v="Online Behavior&gt;United States&gt;Intent ¬ª Auto Buyers ¬ª Type&gt;SUV"/>
    <x v="0"/>
    <x v="1"/>
    <s v="New York City, New York"/>
    <s v="New York"/>
    <s v="homeaddict.io"/>
    <s v="BidSwitch"/>
    <x v="0"/>
    <n v="99205"/>
    <n v="230"/>
    <n v="49240"/>
    <n v="72687"/>
    <n v="21"/>
    <n v="6185.0024860000003"/>
    <n v="2.3184315306688172E-3"/>
    <n v="9.1304347826086957E-2"/>
    <n v="294.52392790476193"/>
    <n v="62.34567296003226"/>
    <n v="0.677425124162505"/>
    <n v="125.60931125101544"/>
  </r>
  <r>
    <s v="Online Behavior&gt;United States&gt;B2B ¬ª Occupation&gt;Broker"/>
    <x v="1"/>
    <x v="2"/>
    <s v="Champaign &amp; Springfield-Decatur,Illinois"/>
    <s v="Illinois"/>
    <s v="tastesbetterfromscratch.com"/>
    <s v="BidSwitch"/>
    <x v="1"/>
    <n v="21962"/>
    <n v="120"/>
    <n v="10702"/>
    <n v="21034"/>
    <n v="11"/>
    <n v="6404.0031280000003"/>
    <n v="5.4639832437847194E-3"/>
    <n v="9.166666666666666E-2"/>
    <n v="582.18210254545454"/>
    <n v="291.59471487114109"/>
    <n v="0.50879528382618622"/>
    <n v="598.39311605307421"/>
  </r>
  <r>
    <s v="US ¬ª Sociodemographic ¬ª ConneXions Lifestage ¬ª M4 Elderly Traditionalists"/>
    <x v="1"/>
    <x v="1"/>
    <s v="Tampa-St Petersburg (Sarasota), Florida"/>
    <s v="Florida"/>
    <s v="mail.yahoo.com"/>
    <s v="Google Ad Manager"/>
    <x v="1"/>
    <n v="31003"/>
    <n v="87"/>
    <n v="12591"/>
    <n v="22656"/>
    <n v="8"/>
    <n v="2294.0037779999998"/>
    <n v="2.806180047092217E-3"/>
    <n v="9.1954022988505746E-2"/>
    <n v="286.75047224999997"/>
    <n v="73.992961261813363"/>
    <n v="0.55574682203389836"/>
    <n v="182.19393042649511"/>
  </r>
  <r>
    <s v="Online Behavior&gt;United States&gt;Travel&gt;Travel"/>
    <x v="1"/>
    <x v="0"/>
    <s v="New York City, New York"/>
    <s v="New York"/>
    <s v="cnn.com"/>
    <s v="Google Ad Manager"/>
    <x v="1"/>
    <n v="272509"/>
    <n v="736"/>
    <n v="89526"/>
    <n v="237859"/>
    <n v="69"/>
    <n v="8168.3470770000004"/>
    <n v="2.7008282295263642E-3"/>
    <n v="9.375E-2"/>
    <n v="118.38184169565218"/>
    <n v="29.974595617025493"/>
    <n v="0.37638264686221667"/>
    <n v="91.239942329602584"/>
  </r>
  <r>
    <s v="US ¬ª Demographic ¬ª Family ¬ª Households with 2 Adults"/>
    <x v="1"/>
    <x v="3"/>
    <s v="Lafayette, Indiana"/>
    <s v="Indiana"/>
    <s v="yahoo.com"/>
    <s v="BidSwitch"/>
    <x v="1"/>
    <n v="507889"/>
    <n v="823"/>
    <n v="176329"/>
    <n v="450103"/>
    <n v="78"/>
    <n v="1440.7453620000001"/>
    <n v="1.6204328111063637E-3"/>
    <n v="9.4775212636695014E-2"/>
    <n v="18.471094384615387"/>
    <n v="2.8367327545979535"/>
    <n v="0.3917525544153227"/>
    <n v="8.1707794066772923"/>
  </r>
  <r>
    <s v="US ¬ª Brand Propensities ¬ª Travel ¬ª Sandals Resorts Buyer Propensity"/>
    <x v="2"/>
    <x v="1"/>
    <s v="Miami-Ft. Lauderdale, Florida"/>
    <s v="Florida"/>
    <s v="autotrader.com"/>
    <s v="Google Ad Manager"/>
    <x v="1"/>
    <n v="53561"/>
    <n v="147"/>
    <n v="37063"/>
    <n v="51480"/>
    <n v="14"/>
    <n v="2039.3550600000001"/>
    <n v="2.7445342693377646E-3"/>
    <n v="9.5238095238095233E-2"/>
    <n v="145.66821857142858"/>
    <n v="38.075373125968525"/>
    <n v="0.71994949494949489"/>
    <n v="55.024014785635273"/>
  </r>
  <r>
    <s v="US ¬ª Reach ¬ª Propensity Models ¬ª Finance ¬ª Credit ¬ª Debit Card ¬ª Store Credit Card User"/>
    <x v="1"/>
    <x v="0"/>
    <s v="Chicago, Illinois"/>
    <s v="Illinois"/>
    <s v="realtor.com"/>
    <s v="Magnite DV+"/>
    <x v="1"/>
    <n v="51515"/>
    <n v="144"/>
    <n v="18304"/>
    <n v="44891"/>
    <n v="14"/>
    <n v="2160.3073250000002"/>
    <n v="2.795302339124527E-3"/>
    <n v="9.7222222222222224E-2"/>
    <n v="154.3076660714286"/>
    <n v="41.935500825002428"/>
    <n v="0.40774320019603039"/>
    <n v="118.02378305288462"/>
  </r>
  <r>
    <s v="Mobile - US ¬ª Device Ownership ¬ª Smartphones ¬ª iOS (Apple) ¬ª iPhone X"/>
    <x v="0"/>
    <x v="2"/>
    <s v="Orlando-Daytona Beach, Florida"/>
    <s v="Florida"/>
    <s v="finance.yahoo.com"/>
    <s v="Taboola"/>
    <x v="0"/>
    <n v="74426"/>
    <n v="150"/>
    <n v="39257"/>
    <n v="67151"/>
    <n v="15"/>
    <n v="1519.596552"/>
    <n v="2.0154247171687316E-3"/>
    <n v="0.1"/>
    <n v="101.3064368"/>
    <n v="20.417549673501195"/>
    <n v="0.58460782415749579"/>
    <n v="38.708932215910536"/>
  </r>
  <r>
    <s v="US ¬ª Interest Propensities ¬ª Insurance ¬ª Unitedhealth Group"/>
    <x v="1"/>
    <x v="1"/>
    <s v="New York City, New York"/>
    <s v="New York"/>
    <s v="forbes.com"/>
    <s v="Google Ad Manager"/>
    <x v="1"/>
    <n v="33069"/>
    <n v="140"/>
    <n v="17744"/>
    <n v="31192"/>
    <n v="14"/>
    <n v="1543.3106110000001"/>
    <n v="4.2335722277661858E-3"/>
    <n v="0.1"/>
    <n v="110.23647221428573"/>
    <n v="46.669406725331882"/>
    <n v="0.56886381123364971"/>
    <n v="86.976477175383224"/>
  </r>
  <r>
    <s v="Mobile - US ¬ª Gamers ¬ª Online ¬ª Users"/>
    <x v="1"/>
    <x v="0"/>
    <s v="Rockford, Illinois"/>
    <s v="Illinois"/>
    <s v="the-sun.com"/>
    <s v="Magnite DV+"/>
    <x v="1"/>
    <n v="16372"/>
    <n v="90"/>
    <n v="4731"/>
    <n v="15332"/>
    <n v="9"/>
    <n v="1704.511123"/>
    <n v="5.4971903249450282E-3"/>
    <n v="0.1"/>
    <n v="189.39012477777777"/>
    <n v="104.11135615685316"/>
    <n v="0.3085703104617793"/>
    <n v="360.28558930458672"/>
  </r>
  <r>
    <s v="Online Behavior&gt;United States&gt;Sports&gt;Sports League ¬ª NBA"/>
    <x v="1"/>
    <x v="3"/>
    <s v="Jacksonville, Florida"/>
    <s v="Florida"/>
    <s v="biblegateway.com"/>
    <s v="Magnite DV+"/>
    <x v="1"/>
    <n v="149618"/>
    <n v="260"/>
    <n v="126031"/>
    <n v="140596"/>
    <n v="26"/>
    <n v="6605.5861580000001"/>
    <n v="1.7377588258097288E-3"/>
    <n v="0.1"/>
    <n v="254.06100607692309"/>
    <n v="44.149675560427227"/>
    <n v="0.89640530313806932"/>
    <n v="52.41239185597194"/>
  </r>
  <r>
    <s v="Online Behavior&gt;United States&gt;Intent ¬ª Shopping&gt;CPGª Cosmetics"/>
    <x v="1"/>
    <x v="0"/>
    <s v="Chicago, Illinois"/>
    <s v="Illinois"/>
    <s v="weather.com"/>
    <s v="Google Ad Manager"/>
    <x v="1"/>
    <n v="43327"/>
    <n v="140"/>
    <n v="4689"/>
    <n v="31363"/>
    <n v="14"/>
    <n v="4554.8768840000002"/>
    <n v="3.2312414891407207E-3"/>
    <n v="0.1"/>
    <n v="325.34834885714287"/>
    <n v="105.1279083250629"/>
    <n v="0.14950738130918598"/>
    <n v="971.39622179569221"/>
  </r>
  <r>
    <s v="Travel and Tourism ¬ª Interest (Affinity)"/>
    <x v="1"/>
    <x v="0"/>
    <s v="San Francisco, California"/>
    <s v="California"/>
    <s v="yellowpages.com"/>
    <s v="Google Ad Manager"/>
    <x v="1"/>
    <n v="14890"/>
    <n v="60"/>
    <n v="6248"/>
    <n v="11493"/>
    <n v="6"/>
    <n v="1982.4164840000001"/>
    <n v="4.0295500335795834E-3"/>
    <n v="0.1"/>
    <n v="330.40274733333337"/>
    <n v="133.13744016118201"/>
    <n v="0.54363525624293052"/>
    <n v="317.28816965428939"/>
  </r>
  <r>
    <s v="Mobile - US ¬ª Food ¬ª Restaurant ¬ª Brand ¬ª Buffalo Wild Wings"/>
    <x v="0"/>
    <x v="0"/>
    <s v="San Francisco, California"/>
    <s v="California"/>
    <s v="evite.com"/>
    <s v="Google Ad Manager"/>
    <x v="0"/>
    <n v="16354"/>
    <n v="40"/>
    <n v="8061"/>
    <n v="15667"/>
    <n v="4"/>
    <n v="1610.3199770000001"/>
    <n v="2.4458847988259752E-3"/>
    <n v="0.1"/>
    <n v="402.57999425000003"/>
    <n v="98.46642882475237"/>
    <n v="0.51452096763898636"/>
    <n v="199.76677546210149"/>
  </r>
  <r>
    <s v="Media Source"/>
    <x v="0"/>
    <x v="3"/>
    <s v="Los Angeles, California"/>
    <s v="California"/>
    <s v="healthyrecipesblogs.com"/>
    <s v="Yieldmo"/>
    <x v="1"/>
    <n v="9149"/>
    <n v="40"/>
    <n v="4568"/>
    <n v="8648"/>
    <n v="4"/>
    <n v="1758.0983650000001"/>
    <n v="4.3720625204940432E-3"/>
    <n v="0.1"/>
    <n v="439.52459125000001"/>
    <n v="192.16289922395893"/>
    <n v="0.52821461609620723"/>
    <n v="384.87267184763573"/>
  </r>
  <r>
    <s v="Restaurants"/>
    <x v="0"/>
    <x v="3"/>
    <s v="Nashville, Tennessee"/>
    <s v="Tennessee"/>
    <s v="timeanddate.com"/>
    <s v="Google Ad Manager"/>
    <x v="1"/>
    <n v="12280"/>
    <n v="40"/>
    <n v="9613"/>
    <n v="11247"/>
    <n v="4"/>
    <n v="1765.3987099999999"/>
    <n v="3.2573289902280132E-3"/>
    <n v="0.1"/>
    <n v="441.34967749999998"/>
    <n v="143.76210993485341"/>
    <n v="0.85471681337245486"/>
    <n v="183.64701029855405"/>
  </r>
  <r>
    <s v="US ¬ªMade In America Audience"/>
    <x v="1"/>
    <x v="2"/>
    <s v="New York City, New York"/>
    <s v="New York"/>
    <s v="upworthy.com"/>
    <s v="PubMatic"/>
    <x v="1"/>
    <n v="16137"/>
    <n v="40"/>
    <n v="7938"/>
    <n v="14030"/>
    <n v="4"/>
    <n v="1835.048738"/>
    <n v="2.4787754849104541E-3"/>
    <n v="0.1"/>
    <n v="458.76218449999999"/>
    <n v="113.71684563425667"/>
    <n v="0.56578759800427658"/>
    <n v="231.17268052406146"/>
  </r>
  <r>
    <s v="US ¬ª Interest Propensities ¬ª Activities and Interests ¬ª Ecommerce"/>
    <x v="0"/>
    <x v="0"/>
    <s v="New York City, New York"/>
    <s v="New York"/>
    <s v="wsj.com"/>
    <s v="Google Ad Manager"/>
    <x v="0"/>
    <n v="20459"/>
    <n v="40"/>
    <n v="12668"/>
    <n v="18613"/>
    <n v="4"/>
    <n v="1842.6065129999999"/>
    <n v="1.9551297717385991E-3"/>
    <n v="0.1"/>
    <n v="460.65162824999999"/>
    <n v="90.063371279143652"/>
    <n v="0.68059958093805406"/>
    <n v="145.453624329018"/>
  </r>
  <r>
    <s v="Media and Entertainment ¬ª Sports and Recreational Activities ¬ª Interest (Affinity) ¬ª Individual Sports ¬ª Tennis and Racquet Sports"/>
    <x v="0"/>
    <x v="2"/>
    <s v="Orlando-Daytona Beach, Florida"/>
    <s v="Florida"/>
    <s v="investopedia.com"/>
    <s v="BidSwitch"/>
    <x v="2"/>
    <n v="17228"/>
    <n v="30"/>
    <n v="11116"/>
    <n v="16044"/>
    <n v="3"/>
    <n v="1547.513459"/>
    <n v="1.7413512885999535E-3"/>
    <n v="0.1"/>
    <n v="515.83781966666663"/>
    <n v="89.825485198514045"/>
    <n v="0.6928446771378709"/>
    <n v="139.21495672903922"/>
  </r>
  <r>
    <s v="Online Behavior&gt;United States&gt;Home and Garden&gt;Home Appliances"/>
    <x v="0"/>
    <x v="3"/>
    <s v="Tampa-St Petersburg (Sarasota), Florida"/>
    <s v="Florida"/>
    <s v="news.yahoo.com"/>
    <s v="BidSwitch"/>
    <x v="1"/>
    <n v="8420"/>
    <n v="80"/>
    <n v="4430"/>
    <n v="7869"/>
    <n v="8"/>
    <n v="5184.5854239999999"/>
    <n v="9.5011876484560574E-3"/>
    <n v="0.1"/>
    <n v="648.07317799999998"/>
    <n v="615.74648741092631"/>
    <n v="0.56296861100521034"/>
    <n v="1170.3353101580135"/>
  </r>
  <r>
    <s v="US Health and Fitness ¬ª Interest ¬ª Exercise ¬ª Health"/>
    <x v="2"/>
    <x v="3"/>
    <s v="San Francisco, California"/>
    <s v="California"/>
    <s v="realtor.com"/>
    <s v="BidSwitch"/>
    <x v="1"/>
    <n v="10819"/>
    <n v="20"/>
    <n v="4168"/>
    <n v="9768"/>
    <n v="2"/>
    <n v="1504.3292140000001"/>
    <n v="1.8485996857380534E-3"/>
    <n v="0.1"/>
    <n v="752.16460700000005"/>
    <n v="139.04512561234864"/>
    <n v="0.42669942669942668"/>
    <n v="360.92351583493286"/>
  </r>
  <r>
    <s v="US ¬ª AUTO ¬ª Primary Vehicle ¬ª New or Used ¬ª New"/>
    <x v="0"/>
    <x v="1"/>
    <s v="Los Angeles, California"/>
    <s v="California"/>
    <s v="dinneratthezoo.com"/>
    <s v="Google Ad Manager"/>
    <x v="1"/>
    <n v="12391"/>
    <n v="40"/>
    <n v="5756"/>
    <n v="11636"/>
    <n v="4"/>
    <n v="3069.1234829999999"/>
    <n v="3.2281494633201518E-3"/>
    <n v="0.1"/>
    <n v="767.28087074999996"/>
    <n v="247.68973311274311"/>
    <n v="0.49467170849089032"/>
    <n v="533.20421872828354"/>
  </r>
  <r>
    <s v="Online Behavior&gt;United States&gt;Finance ¬ª Grants, Scholarships and Financial Aid&gt;Government Grants"/>
    <x v="0"/>
    <x v="0"/>
    <s v="Jacksonville, Florida"/>
    <s v="Florida"/>
    <s v="signupgenius.com"/>
    <s v="BidSwitch"/>
    <x v="1"/>
    <n v="14350"/>
    <n v="60"/>
    <n v="8228"/>
    <n v="13396"/>
    <n v="6"/>
    <n v="6114.034936"/>
    <n v="4.181184668989547E-3"/>
    <n v="0.1"/>
    <n v="1019.0058226666666"/>
    <n v="426.06515233449477"/>
    <n v="0.6142131979695431"/>
    <n v="743.07668157510932"/>
  </r>
  <r>
    <s v="US ¬ª Entertainment and Pastimes ¬ª Entertainment and Pastimes"/>
    <x v="0"/>
    <x v="3"/>
    <s v="Jacksonville, Florida"/>
    <s v="Florida"/>
    <s v="whatismyipaddress.com"/>
    <s v="Magnite DV+"/>
    <x v="1"/>
    <n v="8545"/>
    <n v="20"/>
    <n v="3454"/>
    <n v="5510"/>
    <n v="2"/>
    <n v="2181.2479490000001"/>
    <n v="2.3405500292568754E-3"/>
    <n v="0.1"/>
    <n v="1090.6239745"/>
    <n v="255.26599754242247"/>
    <n v="0.62686025408348456"/>
    <n v="631.51359264620726"/>
  </r>
  <r>
    <s v="OnAudience ¬ª Interest ¬ª Travel"/>
    <x v="0"/>
    <x v="0"/>
    <s v="New York City, New York"/>
    <s v="New York"/>
    <s v="mail.yahoo.com"/>
    <s v="BidSwitch"/>
    <x v="1"/>
    <n v="7540"/>
    <n v="10"/>
    <n v="1475"/>
    <n v="2054"/>
    <n v="1"/>
    <n v="1713.978863"/>
    <n v="1.3262599469496021E-3"/>
    <n v="0.1"/>
    <n v="1713.978863"/>
    <n v="227.31815159151193"/>
    <n v="0.7181110029211295"/>
    <n v="1162.0195681355933"/>
  </r>
  <r>
    <s v="US Demographic ¬ª Preferred Language ¬ª Individual ¬ª Non-Hispanic"/>
    <x v="0"/>
    <x v="0"/>
    <s v="New York City, New York"/>
    <s v="New York"/>
    <s v="houseplans.net"/>
    <s v="BidSwitch"/>
    <x v="1"/>
    <n v="7356"/>
    <n v="10"/>
    <n v="1588"/>
    <n v="7088"/>
    <n v="1"/>
    <n v="1730.37357"/>
    <n v="1.3594344752582926E-3"/>
    <n v="0.1"/>
    <n v="1730.37357"/>
    <n v="235.23294861337683"/>
    <n v="0.22404063205417607"/>
    <n v="1089.6559005037784"/>
  </r>
  <r>
    <s v="Online Behavior&gt;United States&gt;Real Estate&gt;Apartments and Residential Rentals"/>
    <x v="1"/>
    <x v="2"/>
    <s v="New York City, New York"/>
    <s v="New York"/>
    <s v="cbssports.com"/>
    <s v="Google Ad Manager"/>
    <x v="1"/>
    <n v="9515"/>
    <n v="30"/>
    <n v="6169"/>
    <n v="9138"/>
    <n v="3"/>
    <n v="5776.508186"/>
    <n v="3.1529164477141357E-3"/>
    <n v="0.1"/>
    <n v="1925.5027286666666"/>
    <n v="607.09492233315814"/>
    <n v="0.67509301816590062"/>
    <n v="936.37675247203754"/>
  </r>
  <r>
    <s v="OnAudience ¬ª Interest ¬ª Society"/>
    <x v="2"/>
    <x v="0"/>
    <s v="Tampa-St Petersburg (Sarasota), Florida"/>
    <s v="Florida"/>
    <s v="thehulltruth.com"/>
    <s v="PubMatic"/>
    <x v="1"/>
    <n v="7531"/>
    <n v="10"/>
    <n v="3059"/>
    <n v="6523"/>
    <n v="1"/>
    <n v="1937.0583879999999"/>
    <n v="1.3278449077147789E-3"/>
    <n v="0.1"/>
    <n v="1937.0583879999999"/>
    <n v="257.21131164519983"/>
    <n v="0.46895600183964431"/>
    <n v="633.23255573716904"/>
  </r>
  <r>
    <s v="OnAudience"/>
    <x v="0"/>
    <x v="1"/>
    <s v="San Francisco, California"/>
    <s v="California"/>
    <s v="clutchpoints.com"/>
    <s v="Google Ad Manager"/>
    <x v="1"/>
    <n v="7472"/>
    <n v="10"/>
    <n v="1191"/>
    <n v="5883"/>
    <n v="1"/>
    <n v="2183.952037"/>
    <n v="1.3383297644539614E-3"/>
    <n v="0.1"/>
    <n v="2183.952037"/>
    <n v="292.28480152569591"/>
    <n v="0.20244773074961755"/>
    <n v="1833.7128774139378"/>
  </r>
  <r>
    <s v="Online Behavior&gt;United States&gt;Hobbies and Leisure&gt;Outdoors ¬ª Equestrian"/>
    <x v="0"/>
    <x v="0"/>
    <s v="San Francisco, California"/>
    <s v="California"/>
    <s v="accuweather.com"/>
    <s v="Google Ad Manager"/>
    <x v="1"/>
    <n v="7862"/>
    <n v="20"/>
    <n v="2152"/>
    <n v="6039"/>
    <n v="2"/>
    <n v="6506.4336869999997"/>
    <n v="2.5438819638768763E-3"/>
    <n v="0.1"/>
    <n v="3253.2168434999999"/>
    <n v="827.57996527601119"/>
    <n v="0.3563503891372744"/>
    <n v="3023.4357281598514"/>
  </r>
  <r>
    <s v="Online Behavior&gt;United States&gt;Autos and Vehicles ¬ª Brands&gt;Pontiac"/>
    <x v="1"/>
    <x v="0"/>
    <s v="San Francisco, California"/>
    <s v="California"/>
    <s v="sports.yahoo.com"/>
    <s v="BidSwitch"/>
    <x v="1"/>
    <n v="7769"/>
    <n v="10"/>
    <n v="3152"/>
    <n v="6464"/>
    <n v="1"/>
    <n v="5603.0481319999999"/>
    <n v="1.2871669455528382E-3"/>
    <n v="0.1"/>
    <n v="5603.0481319999999"/>
    <n v="721.2058349851975"/>
    <n v="0.48762376237623761"/>
    <n v="1777.6167931472082"/>
  </r>
  <r>
    <s v="Online Behavior&gt;United States&gt;Intent ¬ª Auto Buyers ¬ª Car Make&gt;Nissan"/>
    <x v="1"/>
    <x v="0"/>
    <s v="Miami-Ft. Lauderdale, Florida"/>
    <s v="Florida"/>
    <s v="britannica.com"/>
    <s v="Google Ad Manager"/>
    <x v="1"/>
    <n v="8068"/>
    <n v="10"/>
    <n v="5545"/>
    <n v="7554"/>
    <n v="1"/>
    <n v="5995.0410019999999"/>
    <n v="1.2394645513138325E-3"/>
    <n v="0.1"/>
    <n v="5995.0410019999999"/>
    <n v="743.06408056519581"/>
    <n v="0.73404818639131586"/>
    <n v="1081.1615873760145"/>
  </r>
  <r>
    <s v="Online Behavior&gt;United States&gt;Intent ¬ª Auto Buyers ¬ª Car Make&gt;Honda"/>
    <x v="0"/>
    <x v="0"/>
    <s v="Nashville, Tennessee"/>
    <s v="Tennessee"/>
    <s v="npr.org"/>
    <s v="Yahoo Exchange"/>
    <x v="1"/>
    <n v="8000"/>
    <n v="10"/>
    <n v="4400"/>
    <n v="6379"/>
    <n v="1"/>
    <n v="6159.3669019999998"/>
    <n v="1.25E-3"/>
    <n v="0.1"/>
    <n v="6159.3669019999998"/>
    <n v="769.92086274999997"/>
    <n v="0.6897632857814705"/>
    <n v="1399.8561140909089"/>
  </r>
  <r>
    <s v="Media and Entertainment ¬ª Connected TV and Over-the-Top (CTV and OTT) ¬ª Streaming Television and Film Viewership ¬ª OTT Movie Viewers ¬ª Genre ¬ª Crime Movie Streamers"/>
    <x v="0"/>
    <x v="2"/>
    <s v="Chicago, Illinois"/>
    <s v="Illinois"/>
    <s v="cars.com"/>
    <s v="BidSwitch"/>
    <x v="0"/>
    <n v="69757"/>
    <n v="199"/>
    <n v="41258"/>
    <n v="65374"/>
    <n v="20"/>
    <n v="1510.6153200000001"/>
    <n v="2.8527602964577032E-3"/>
    <n v="0.10050251256281408"/>
    <n v="75.530766"/>
    <n v="21.655394010636925"/>
    <n v="0.63110716798727318"/>
    <n v="36.61387658151147"/>
  </r>
  <r>
    <s v="Online Behavior&gt;United States&gt;Life Event&gt;Wedding Planning"/>
    <x v="0"/>
    <x v="2"/>
    <s v="Chicago, Illinois"/>
    <s v="Illinois"/>
    <s v="news.yahoo.com"/>
    <s v="BidSwitch"/>
    <x v="1"/>
    <n v="16503"/>
    <n v="69"/>
    <n v="8595"/>
    <n v="14466"/>
    <n v="7"/>
    <n v="5714.5238669999999"/>
    <n v="4.1810579894564623E-3"/>
    <n v="0.10144927536231885"/>
    <n v="816.3605524285714"/>
    <n v="346.2718213052172"/>
    <n v="0.59415180423060976"/>
    <n v="664.86606945898779"/>
  </r>
  <r>
    <s v="US ¬ª Reach ¬ª Propensity Models ¬ª Household Consumer Expenditures ¬ª Home Office"/>
    <x v="1"/>
    <x v="0"/>
    <s v="Mobile, Alabama-Pensacola, Florida"/>
    <s v="Alabama-Pensacola, Florida"/>
    <s v="calculator.net"/>
    <s v="Index Exchange"/>
    <x v="1"/>
    <n v="36431"/>
    <n v="108"/>
    <n v="31262"/>
    <n v="35043"/>
    <n v="11"/>
    <n v="3285.8345220000001"/>
    <n v="2.9645082484697099E-3"/>
    <n v="0.10185185185185185"/>
    <n v="298.71222927272726"/>
    <n v="90.193366144217848"/>
    <n v="0.89210398653083356"/>
    <n v="105.10634386795471"/>
  </r>
  <r>
    <s v="Online Behavior&gt;United States&gt;Intent ¬ª Auto Buyers ¬ª Car Make&gt;Ford"/>
    <x v="0"/>
    <x v="3"/>
    <s v="Nashville, Tennessee"/>
    <s v="Tennessee"/>
    <s v="foxnews.com"/>
    <s v="BidSwitch"/>
    <x v="2"/>
    <n v="29323"/>
    <n v="88"/>
    <n v="13822"/>
    <n v="26934"/>
    <n v="9"/>
    <n v="6096.045521"/>
    <n v="3.0010571906012346E-3"/>
    <n v="0.10227272727272728"/>
    <n v="677.33839122222219"/>
    <n v="207.89296869351702"/>
    <n v="0.51318036682260337"/>
    <n v="441.03932289104324"/>
  </r>
  <r>
    <s v="Online Behavior&gt;United States&gt;Validated Demographic ¬ª Gender and Age Combined&gt;Males 55-64"/>
    <x v="1"/>
    <x v="1"/>
    <s v="New York City, New York"/>
    <s v="New York"/>
    <s v="timeanddate.com"/>
    <s v="Yahoo Exchange"/>
    <x v="1"/>
    <n v="44361"/>
    <n v="166"/>
    <n v="36040"/>
    <n v="40684"/>
    <n v="17"/>
    <n v="5048.8525529999997"/>
    <n v="3.7420256531638151E-3"/>
    <n v="0.10240963855421686"/>
    <n v="296.99132664705883"/>
    <n v="113.81286609860013"/>
    <n v="0.88585193196342538"/>
    <n v="140.09024841842395"/>
  </r>
  <r>
    <s v="Online Behavior&gt;United States&gt;The Changing Consumer&gt;Natural Disasters"/>
    <x v="0"/>
    <x v="1"/>
    <s v="Chicago, Illinois"/>
    <s v="Illinois"/>
    <s v="outlook.live.com"/>
    <s v="Yahoo Exchange"/>
    <x v="2"/>
    <n v="42755"/>
    <n v="117"/>
    <n v="36503"/>
    <n v="40051"/>
    <n v="12"/>
    <n v="6550.3029699999997"/>
    <n v="2.7365220442053563E-3"/>
    <n v="0.10256410256410256"/>
    <n v="545.85858083333335"/>
    <n v="153.20554250964798"/>
    <n v="0.91141294849067434"/>
    <n v="179.44560638851601"/>
  </r>
  <r>
    <s v="Online Behavior&gt;United States&gt;Intent ¬ª Financial Intent&gt;Loans and Credit"/>
    <x v="1"/>
    <x v="2"/>
    <s v="Savannah, Georgia"/>
    <s v="Georgia"/>
    <s v="ebay.com"/>
    <s v="Yieldmo"/>
    <x v="1"/>
    <n v="83957"/>
    <n v="185"/>
    <n v="1420"/>
    <n v="69246"/>
    <n v="19"/>
    <n v="6651.51451"/>
    <n v="2.2035089390997774E-3"/>
    <n v="0.10270270270270271"/>
    <n v="350.07971105263158"/>
    <n v="79.225252331550678"/>
    <n v="2.0506599659186091E-2"/>
    <n v="4684.1651478873237"/>
  </r>
  <r>
    <s v="US ¬ª B2B ¬ª B2B Decision Maker Responsibilities ¬ª Purchasing Utilities"/>
    <x v="1"/>
    <x v="1"/>
    <s v="Grand Rapids-Kalamazoo, Michigan"/>
    <s v="Michigan"/>
    <s v="accuweather.com"/>
    <s v="OpenX"/>
    <x v="1"/>
    <n v="49936"/>
    <n v="126"/>
    <n v="25461"/>
    <n v="44751"/>
    <n v="13"/>
    <n v="2025.7840189999999"/>
    <n v="2.5232297340595962E-3"/>
    <n v="0.10317460317460317"/>
    <n v="155.82953992307691"/>
    <n v="40.56760691685357"/>
    <n v="0.56894817992894009"/>
    <n v="79.564196967911698"/>
  </r>
  <r>
    <s v="US ¬ª Brand Propensities ¬ª Travel ¬ª MGM Resorts International Buyer Propensity"/>
    <x v="2"/>
    <x v="0"/>
    <s v="New York City, New York"/>
    <s v="New York"/>
    <s v="w3schools.com"/>
    <s v="BidSwitch"/>
    <x v="1"/>
    <n v="32400"/>
    <n v="87"/>
    <n v="5152"/>
    <n v="30383"/>
    <n v="9"/>
    <n v="1522.352623"/>
    <n v="2.685185185185185E-3"/>
    <n v="0.10344827586206896"/>
    <n v="169.15029144444443"/>
    <n v="46.986192067901236"/>
    <n v="0.16956850870552612"/>
    <n v="295.48769856366459"/>
  </r>
  <r>
    <s v="Online Behavior&gt;United States&gt;Arts and Entertainment&gt;Events and Listings ¬ª Expos and Conventions"/>
    <x v="0"/>
    <x v="0"/>
    <s v="Los Angeles, California"/>
    <s v="California"/>
    <s v="zillow.com"/>
    <s v="Google Ad Manager"/>
    <x v="2"/>
    <n v="20833"/>
    <n v="87"/>
    <n v="1777"/>
    <n v="17211"/>
    <n v="9"/>
    <n v="5542.5121810000001"/>
    <n v="4.176066817069073E-3"/>
    <n v="0.10344827586206896"/>
    <n v="615.83468677777773"/>
    <n v="266.04484140546253"/>
    <n v="0.10324792284004415"/>
    <n v="3119.0276764209339"/>
  </r>
  <r>
    <s v="Online Behavior&gt;United States&gt;Autos and Vehicles ¬ª Brands&gt;Jaguar"/>
    <x v="1"/>
    <x v="2"/>
    <s v="Chicago, Illinois"/>
    <s v="Illinois"/>
    <s v="mlb.com"/>
    <s v="Google Ad Manager"/>
    <x v="1"/>
    <n v="38396"/>
    <n v="87"/>
    <n v="6305"/>
    <n v="35118"/>
    <n v="9"/>
    <n v="5740.164546"/>
    <n v="2.2658610271903325E-3"/>
    <n v="0.10344827586206896"/>
    <n v="637.79606066666668"/>
    <n v="149.4990245338056"/>
    <n v="0.17953755908650834"/>
    <n v="910.41467819191121"/>
  </r>
  <r>
    <s v="Real Estate ¬ª Property Type&gt; Residential"/>
    <x v="0"/>
    <x v="3"/>
    <s v="Peoria-Bloomington, Illinois"/>
    <s v="Illinois"/>
    <s v="tomsguide.com"/>
    <s v="Google Ad Manager"/>
    <x v="2"/>
    <n v="11043"/>
    <n v="125"/>
    <n v="4547"/>
    <n v="9666"/>
    <n v="13"/>
    <n v="1858.132171"/>
    <n v="1.1319387847505207E-2"/>
    <n v="0.104"/>
    <n v="142.93324392307693"/>
    <n v="168.26334972380695"/>
    <n v="0.47041175253465756"/>
    <n v="408.65013657356496"/>
  </r>
  <r>
    <s v="US ¬ª Brand Propensities ¬ª Media and Entertainment ¬ª Sony Network Entertainment International Buyer Propensity"/>
    <x v="0"/>
    <x v="3"/>
    <s v="West Palm Beach-Ft. Pierce, Florida"/>
    <s v="Florida"/>
    <s v="mail.aol.com"/>
    <s v="PubMatic"/>
    <x v="0"/>
    <n v="32173"/>
    <n v="104"/>
    <n v="24427"/>
    <n v="30084"/>
    <n v="11"/>
    <n v="1498.2915399999999"/>
    <n v="3.2325241662263388E-3"/>
    <n v="0.10576923076923077"/>
    <n v="136.20832181818182"/>
    <n v="46.569842414446889"/>
    <n v="0.81195984576519076"/>
    <n v="61.337517501125802"/>
  </r>
  <r>
    <s v="Online Behavior&gt;United States&gt;People and Society&gt;Family and Relationships ¬ª Moms"/>
    <x v="1"/>
    <x v="0"/>
    <s v="Flint-Saginaw-Bay City, Michigan"/>
    <s v="Michigan"/>
    <s v="my.yahoo.com"/>
    <s v="BidSwitch"/>
    <x v="1"/>
    <n v="26784"/>
    <n v="85"/>
    <n v="12708"/>
    <n v="22261"/>
    <n v="9"/>
    <n v="6643.1616469999999"/>
    <n v="3.1735364396654718E-3"/>
    <n v="0.10588235294117647"/>
    <n v="738.12907188888892"/>
    <n v="248.02724189814816"/>
    <n v="0.57086384259467227"/>
    <n v="522.75430020459555"/>
  </r>
  <r>
    <s v="Media and Entertainment ¬ª Gaming ¬ª In-Market"/>
    <x v="0"/>
    <x v="1"/>
    <s v="San Francisco, California"/>
    <s v="California"/>
    <s v="moneyppl.com"/>
    <s v="Xandr - Monetize SSP (AppNexus)"/>
    <x v="0"/>
    <n v="37076"/>
    <n v="113"/>
    <n v="9246"/>
    <n v="22565"/>
    <n v="12"/>
    <n v="1487.9960779999999"/>
    <n v="3.0477937210055023E-3"/>
    <n v="0.10619469026548672"/>
    <n v="123.99967316666665"/>
    <n v="40.133673481497461"/>
    <n v="0.40974961223133172"/>
    <n v="160.93403396063161"/>
  </r>
  <r>
    <s v="US ¬ª Interest Propensities ¬ª Insurance ¬ª Aetna Group"/>
    <x v="0"/>
    <x v="3"/>
    <s v="Nashville, Tennessee"/>
    <s v="Tennessee"/>
    <s v="foxbusiness.com"/>
    <s v="Google Ad Manager"/>
    <x v="2"/>
    <n v="12436"/>
    <n v="84"/>
    <n v="7055"/>
    <n v="11497"/>
    <n v="9"/>
    <n v="1720.870126"/>
    <n v="6.7545834673528463E-3"/>
    <n v="0.10714285714285714"/>
    <n v="191.20779177777777"/>
    <n v="138.37810598263107"/>
    <n v="0.61363834043663568"/>
    <n v="243.92205896527284"/>
  </r>
  <r>
    <s v="US ¬ª Demographic ¬ª Family ¬ª Households with 3 Adults"/>
    <x v="0"/>
    <x v="3"/>
    <s v="San Francisco, California"/>
    <s v="California"/>
    <s v="mail.yahoo.com"/>
    <s v="Google Ad Manager"/>
    <x v="0"/>
    <n v="32436"/>
    <n v="56"/>
    <n v="17531"/>
    <n v="28429"/>
    <n v="6"/>
    <n v="1470.670167"/>
    <n v="1.7264767542237022E-3"/>
    <n v="0.10714285714285714"/>
    <n v="245.1116945"/>
    <n v="45.340676008139106"/>
    <n v="0.616659045341025"/>
    <n v="83.889690662255433"/>
  </r>
  <r>
    <s v="Online Behavior&gt;United States&gt;Law and Government&gt;Public Safety"/>
    <x v="1"/>
    <x v="0"/>
    <s v="Augusta, Georgia"/>
    <s v="Georgia"/>
    <s v="biblegateway.com"/>
    <s v="Taboola"/>
    <x v="1"/>
    <n v="43367"/>
    <n v="111"/>
    <n v="14306"/>
    <n v="39750"/>
    <n v="12"/>
    <n v="5214.2986929999997"/>
    <n v="2.5595498881638111E-3"/>
    <n v="0.10810810810810811"/>
    <n v="434.52489108333333"/>
    <n v="120.23655528397168"/>
    <n v="0.35989937106918241"/>
    <n v="364.48334216412695"/>
  </r>
  <r>
    <s v="Media and Entertainment ¬ª Sports and Recreational Activities ¬ª Interest (Affinity) ¬ª Motorsports"/>
    <x v="0"/>
    <x v="0"/>
    <s v="Nashville, Tennessee"/>
    <s v="Tennessee"/>
    <s v="biblegateway.com"/>
    <s v="Google Ad Manager"/>
    <x v="0"/>
    <n v="21531"/>
    <n v="55"/>
    <n v="15593"/>
    <n v="18617"/>
    <n v="6"/>
    <n v="1470.9719250000001"/>
    <n v="2.5544563652408155E-3"/>
    <n v="0.10909090909090909"/>
    <n v="245.16198750000001"/>
    <n v="68.318792671032469"/>
    <n v="0.83756781436321637"/>
    <n v="94.335402103507988"/>
  </r>
  <r>
    <s v="Online Behavior&gt;United States&gt;Arts and Entertainment&gt;Events and Listings ¬ª Bars, Clubs and Nightlife"/>
    <x v="0"/>
    <x v="3"/>
    <s v="Chicago, Illinois"/>
    <s v="Illinois"/>
    <s v="activebeat.com"/>
    <s v="Magnite DV+"/>
    <x v="0"/>
    <n v="81905"/>
    <n v="220"/>
    <n v="61995"/>
    <n v="71110"/>
    <n v="24"/>
    <n v="7065.6692800000001"/>
    <n v="2.6860387033758623E-3"/>
    <n v="0.10909090909090909"/>
    <n v="294.40288666666669"/>
    <n v="86.266641596972107"/>
    <n v="0.87181830966108842"/>
    <n v="113.97159899991935"/>
  </r>
  <r>
    <s v="OnAudience ¬ª Interest ¬ª Pets"/>
    <x v="1"/>
    <x v="1"/>
    <s v="West Palm Beach-Ft. Pierce, Florida"/>
    <s v="Florida"/>
    <s v="soaps.sheknows.com"/>
    <s v="Google Ad Manager"/>
    <x v="1"/>
    <n v="20572"/>
    <n v="90"/>
    <n v="2226"/>
    <n v="16510"/>
    <n v="10"/>
    <n v="1529.307229"/>
    <n v="4.3748784755979001E-3"/>
    <n v="0.1111111111111111"/>
    <n v="152.93072290000001"/>
    <n v="74.339258652537438"/>
    <n v="0.13482737734706238"/>
    <n v="687.02031850853552"/>
  </r>
  <r>
    <s v="Media and Entertainment ¬ª Sports and Recreational Activities ¬ª Interest (Affinity) ¬ª Team Sports ¬ª Soccer (Football)"/>
    <x v="0"/>
    <x v="1"/>
    <s v="Nashville, Tennessee"/>
    <s v="Tennessee"/>
    <s v="merriam-webster.com/dictionary"/>
    <s v="BidSwitch"/>
    <x v="1"/>
    <n v="7402"/>
    <n v="9"/>
    <n v="3860"/>
    <n v="6406"/>
    <n v="1"/>
    <n v="1560.449936"/>
    <n v="1.215887597946501E-3"/>
    <n v="0.1111111111111111"/>
    <n v="1560.449936"/>
    <n v="210.81463604431235"/>
    <n v="0.60256009990633785"/>
    <n v="404.26164145077718"/>
  </r>
  <r>
    <s v="Online Behavior&gt;United States&gt;Travel&gt;Air Travel ¬ª Airport Parking and Transportation"/>
    <x v="0"/>
    <x v="0"/>
    <s v="Miami-Ft. Lauderdale, Florida"/>
    <s v="Florida"/>
    <s v="mail.aol.com"/>
    <s v="Google Ad Manager"/>
    <x v="0"/>
    <n v="141165"/>
    <n v="250"/>
    <n v="102776"/>
    <n v="128004"/>
    <n v="28"/>
    <n v="7222.2114080000001"/>
    <n v="1.7709772252328835E-3"/>
    <n v="0.112"/>
    <n v="257.93612171428572"/>
    <n v="51.161487677540471"/>
    <n v="0.80291240898721916"/>
    <n v="70.271380555771771"/>
  </r>
  <r>
    <s v="US ¬ª Reach ¬ª Propensity Models ¬ª Hobbies and Interest ¬ª Food and Drinks ¬ª Wine Lovers"/>
    <x v="0"/>
    <x v="0"/>
    <s v="Nashville, Tennessee"/>
    <s v="Tennessee"/>
    <s v="biblegateway.com"/>
    <s v="Google Ad Manager"/>
    <x v="0"/>
    <n v="64892"/>
    <n v="214"/>
    <n v="34731"/>
    <n v="59369"/>
    <n v="24"/>
    <n v="2096.2855490000002"/>
    <n v="3.2977870923996794E-3"/>
    <n v="0.11214953271028037"/>
    <n v="87.345231208333345"/>
    <n v="32.304221614374661"/>
    <n v="0.58500227391399551"/>
    <n v="60.357765368114947"/>
  </r>
  <r>
    <s v="US ¬ª Reach ¬ª Propensity Models ¬ª Travel ¬ª High Frequency Travel ¬ª Foreign Vacationer"/>
    <x v="1"/>
    <x v="3"/>
    <s v="New York City, New York"/>
    <s v="New York"/>
    <s v="nsfas-applications.co.za"/>
    <s v="PubMatic"/>
    <x v="1"/>
    <n v="15588"/>
    <n v="80"/>
    <n v="2089"/>
    <n v="14526"/>
    <n v="9"/>
    <n v="3518.5334819999998"/>
    <n v="5.1321529381575569E-3"/>
    <n v="0.1125"/>
    <n v="390.94816466666663"/>
    <n v="225.72064934565051"/>
    <n v="0.14381109734269584"/>
    <n v="1684.3147352800381"/>
  </r>
  <r>
    <s v="Online Behavior&gt;United States&gt;Autos and Vehicles ¬ª Brands&gt;SEAT"/>
    <x v="0"/>
    <x v="2"/>
    <s v="Chicago, Illinois"/>
    <s v="Illinois"/>
    <s v="mail.aol.com"/>
    <s v="BidSwitch"/>
    <x v="1"/>
    <n v="14083"/>
    <n v="97"/>
    <n v="9945"/>
    <n v="12878"/>
    <n v="11"/>
    <n v="5979.67"/>
    <n v="6.8877369878577004E-3"/>
    <n v="0.1134020618556701"/>
    <n v="543.60636363636365"/>
    <n v="424.60200241425832"/>
    <n v="0.77224724336077033"/>
    <n v="601.27400703871297"/>
  </r>
  <r>
    <s v="Online Behavior&gt;United States&gt;Autos and Vehicles ¬ª Brands&gt;Fiat"/>
    <x v="0"/>
    <x v="3"/>
    <s v="Chicago, Illinois"/>
    <s v="Illinois"/>
    <s v="thekrazycouponlady.com"/>
    <s v="Magnite DV+"/>
    <x v="1"/>
    <n v="11417"/>
    <n v="78"/>
    <n v="1387"/>
    <n v="9924"/>
    <n v="9"/>
    <n v="6206.6371079999999"/>
    <n v="6.831917316282736E-3"/>
    <n v="0.11538461538461539"/>
    <n v="689.62634533333335"/>
    <n v="543.63117351318215"/>
    <n v="0.13976219266424827"/>
    <n v="4474.8645335255951"/>
  </r>
  <r>
    <s v="Online Behavior&gt;United States&gt;Autos and Vehicles ¬ª Brands&gt;Jeep"/>
    <x v="1"/>
    <x v="2"/>
    <s v="Los Angeles, California"/>
    <s v="California"/>
    <s v="accuweather.com"/>
    <s v="Google Ad Manager"/>
    <x v="1"/>
    <n v="23711"/>
    <n v="69"/>
    <n v="4337"/>
    <n v="17211"/>
    <n v="8"/>
    <n v="5740.9522189999998"/>
    <n v="2.9100417527729745E-3"/>
    <n v="0.11594202898550725"/>
    <n v="717.61902737499997"/>
    <n v="242.12189359369069"/>
    <n v="0.2519900063912614"/>
    <n v="1323.7150608715701"/>
  </r>
  <r>
    <s v="US ¬ª Brand Propensities ¬ª Travel ¬ª Booking.com Buyer Propensity"/>
    <x v="1"/>
    <x v="0"/>
    <s v="Miami-Ft. Lauderdale, Florida"/>
    <s v="Florida"/>
    <s v="fandom.com"/>
    <s v="Google Ad Manager"/>
    <x v="1"/>
    <n v="22259"/>
    <n v="120"/>
    <n v="12405"/>
    <n v="17609"/>
    <n v="14"/>
    <n v="1611.340211"/>
    <n v="5.3910777662967788E-3"/>
    <n v="0.11666666666666667"/>
    <n v="115.09572935714286"/>
    <n v="72.39050321218383"/>
    <n v="0.70446930546879438"/>
    <n v="129.89441442966546"/>
  </r>
  <r>
    <s v="Online Behavior&gt;United States&gt;Internet and Telecom&gt;Mobile and Wireless"/>
    <x v="1"/>
    <x v="2"/>
    <s v="Nashville, Tennessee"/>
    <s v="Tennessee"/>
    <s v="forbes.com"/>
    <s v="Google Ad Manager"/>
    <x v="1"/>
    <n v="15326"/>
    <n v="68"/>
    <n v="7941"/>
    <n v="14331"/>
    <n v="8"/>
    <n v="6943.5158240000001"/>
    <n v="4.436904606550959E-3"/>
    <n v="0.11764705882352941"/>
    <n v="867.93947800000001"/>
    <n v="453.05466684066289"/>
    <n v="0.55411346033075148"/>
    <n v="874.38809016496668"/>
  </r>
  <r>
    <s v="Online Behavior&gt;United States&gt;Online Communities&gt;File Sharing and Hosting"/>
    <x v="1"/>
    <x v="1"/>
    <s v="San Francisco, California"/>
    <s v="California"/>
    <s v="ebay.com"/>
    <s v="Index Exchange"/>
    <x v="1"/>
    <n v="39794"/>
    <n v="101"/>
    <n v="17539"/>
    <n v="37664"/>
    <n v="12"/>
    <n v="5328.5245139999997"/>
    <n v="2.5380710659898475E-3"/>
    <n v="0.11881188118811881"/>
    <n v="444.04370949999998"/>
    <n v="133.90271181585163"/>
    <n v="0.4656701359388275"/>
    <n v="303.81005268259304"/>
  </r>
  <r>
    <s v="OnAudience ¬ª Interest ¬ª News ¬ª National News"/>
    <x v="2"/>
    <x v="2"/>
    <s v="Los Angeles, California"/>
    <s v="California"/>
    <s v="greedyfinance.com"/>
    <s v="Google Ad Manager"/>
    <x v="1"/>
    <n v="20537"/>
    <n v="84"/>
    <n v="15587"/>
    <n v="19288"/>
    <n v="10"/>
    <n v="1609.880674"/>
    <n v="4.0901787018551884E-3"/>
    <n v="0.11904761904761904"/>
    <n v="160.98806740000001"/>
    <n v="78.389281491941375"/>
    <n v="0.80811903774367477"/>
    <n v="103.28354872650286"/>
  </r>
  <r>
    <s v="Online Behavior&gt;United States&gt;Beauty and Fitness&gt;Fitness ¬ª Fitness Equipment and Accessories"/>
    <x v="0"/>
    <x v="2"/>
    <s v="Tampa-St Petersburg (Sarasota), Florida"/>
    <s v="Florida"/>
    <s v="travelerdreams.com"/>
    <s v="Google Ad Manager"/>
    <x v="0"/>
    <n v="24875"/>
    <n v="67"/>
    <n v="14213"/>
    <n v="23455"/>
    <n v="8"/>
    <n v="4652.2420510000002"/>
    <n v="2.693467336683417E-3"/>
    <n v="0.11940298507462686"/>
    <n v="581.53025637500002"/>
    <n v="187.02480607035176"/>
    <n v="0.60596887657215948"/>
    <n v="327.32301773024693"/>
  </r>
  <r>
    <s v="Mobile - US ¬ª Sports ¬ª Motor Sports ¬ª NASCAR"/>
    <x v="1"/>
    <x v="2"/>
    <s v="Ft. Wayne, Indiana"/>
    <s v="Indiana"/>
    <s v="yahoo.com"/>
    <s v="Google Ad Manager"/>
    <x v="1"/>
    <n v="74516"/>
    <n v="200"/>
    <n v="23985"/>
    <n v="63853"/>
    <n v="24"/>
    <n v="1523.783909"/>
    <n v="2.683987331579795E-3"/>
    <n v="0.12"/>
    <n v="63.490996208333335"/>
    <n v="20.449083539105693"/>
    <n v="0.37562839647314927"/>
    <n v="63.53070289764436"/>
  </r>
  <r>
    <s v="Mobile - US ¬ª Device Ownership ¬ª Smartphones ¬ª ZTE"/>
    <x v="0"/>
    <x v="3"/>
    <s v="Jacksonville, Florida"/>
    <s v="Florida"/>
    <s v="ebay.com"/>
    <s v="BidSwitch"/>
    <x v="0"/>
    <n v="74436"/>
    <n v="175"/>
    <n v="30158"/>
    <n v="69150"/>
    <n v="21"/>
    <n v="1558.5491380000001"/>
    <n v="2.3510129507227687E-3"/>
    <n v="0.12"/>
    <n v="74.216625619047619"/>
    <n v="20.938109758718898"/>
    <n v="0.43612436731742588"/>
    <n v="51.679459446912929"/>
  </r>
  <r>
    <s v="Online Behavior&gt;United States&gt;Finance ¬ª Investing&gt;Derivatives"/>
    <x v="1"/>
    <x v="3"/>
    <s v="Chicago, Illinois"/>
    <s v="Illinois"/>
    <s v="biblegateway.com"/>
    <s v="Index Exchange"/>
    <x v="1"/>
    <n v="114384"/>
    <n v="100"/>
    <n v="61524"/>
    <n v="105104"/>
    <n v="12"/>
    <n v="5803.3314540000001"/>
    <n v="8.7424814659392927E-4"/>
    <n v="0.12"/>
    <n v="483.61095449999999"/>
    <n v="50.735517677297523"/>
    <n v="0.58536306896026791"/>
    <n v="94.326302808660031"/>
  </r>
  <r>
    <s v="US Financial ¬ª Likely Credit Card ¬ª Card in Own Name ¬ª Any major Credit/Debit Card (Financial)"/>
    <x v="0"/>
    <x v="0"/>
    <s v="San Francisco, California"/>
    <s v="California"/>
    <s v="accuweather.com"/>
    <s v="BidSwitch"/>
    <x v="1"/>
    <n v="10811"/>
    <n v="25"/>
    <n v="988"/>
    <n v="2975"/>
    <n v="3"/>
    <n v="1679.833815"/>
    <n v="2.3124595319581908E-3"/>
    <n v="0.12"/>
    <n v="559.94460500000002"/>
    <n v="155.38190870409767"/>
    <n v="0.33210084033613446"/>
    <n v="1700.2366548582995"/>
  </r>
  <r>
    <s v="Online Behavior&gt;United States&gt;Arts and Entertainment&gt;Events and Listings ¬ª Event Ticket Sales"/>
    <x v="2"/>
    <x v="1"/>
    <s v="Nashville, Tennessee"/>
    <s v="Tennessee"/>
    <s v="wikihow.com"/>
    <s v="Magnite DV+"/>
    <x v="1"/>
    <n v="23488"/>
    <n v="75"/>
    <n v="4620"/>
    <n v="22254"/>
    <n v="9"/>
    <n v="6667.727715"/>
    <n v="3.1931198910081743E-3"/>
    <n v="0.12"/>
    <n v="740.85863500000005"/>
    <n v="283.87805326123981"/>
    <n v="0.20760312752763549"/>
    <n v="1443.2311071428571"/>
  </r>
  <r>
    <s v="Online Behavior&gt;United States&gt;Validated Demographic ¬ª Gender and Age Combined&gt;Males 18-34"/>
    <x v="1"/>
    <x v="3"/>
    <s v="San Francisco, California"/>
    <s v="California"/>
    <s v="nbcdfw.com"/>
    <s v="BidSwitch"/>
    <x v="1"/>
    <n v="10835"/>
    <n v="25"/>
    <n v="2888"/>
    <n v="10487"/>
    <n v="3"/>
    <n v="4704.2499559999997"/>
    <n v="2.3073373327180432E-3"/>
    <n v="0.12"/>
    <n v="1568.0833186666666"/>
    <n v="434.17166183664045"/>
    <n v="0.27538857633260228"/>
    <n v="1628.8954141274237"/>
  </r>
  <r>
    <s v="Online Behavior&gt;United States&gt;Sports&gt;Extreme Sports"/>
    <x v="0"/>
    <x v="0"/>
    <s v="Miami-Ft. Lauderdale, Florida"/>
    <s v="Florida"/>
    <s v="webmd.com"/>
    <s v="Yahoo Exchange"/>
    <x v="1"/>
    <n v="14599"/>
    <n v="33"/>
    <n v="1779"/>
    <n v="12458"/>
    <n v="4"/>
    <n v="5092.5592150000002"/>
    <n v="2.2604287964929103E-3"/>
    <n v="0.12121212121212122"/>
    <n v="1273.1398037500001"/>
    <n v="348.82931810397974"/>
    <n v="0.14279980735270509"/>
    <n v="2862.596523327712"/>
  </r>
  <r>
    <s v="Online Behavior&gt;United States&gt;Travel&gt;Tourist Destinations ¬ª Beaches and Islands"/>
    <x v="2"/>
    <x v="3"/>
    <s v="Chicago, Illinois"/>
    <s v="Illinois"/>
    <s v="cheezburger.com"/>
    <s v="Google Ad Manager"/>
    <x v="1"/>
    <n v="19461"/>
    <n v="74"/>
    <n v="14647"/>
    <n v="18731"/>
    <n v="9"/>
    <n v="7311.9987499999997"/>
    <n v="3.802476748368532E-3"/>
    <n v="0.12162162162162163"/>
    <n v="812.4443055555555"/>
    <n v="375.72574636452396"/>
    <n v="0.78196572526827179"/>
    <n v="499.21477094285518"/>
  </r>
  <r>
    <s v="Online Behavior&gt;United States&gt;Finance ¬ª Credit and Lending&gt;Credit and Lending"/>
    <x v="1"/>
    <x v="3"/>
    <s v="Chicago, Illinois"/>
    <s v="Illinois"/>
    <s v="msn.com"/>
    <s v="PubMatic"/>
    <x v="1"/>
    <n v="4154911"/>
    <n v="1254"/>
    <n v="2338732"/>
    <n v="3445626"/>
    <n v="154"/>
    <n v="8038.5703709999998"/>
    <n v="3.0181151894709659E-4"/>
    <n v="0.12280701754385964"/>
    <n v="52.198508902597403"/>
    <n v="1.9347154177309693"/>
    <n v="0.67875387520293839"/>
    <n v="3.4371490068122381"/>
  </r>
  <r>
    <s v="US Financial ¬ª Likely In Market Timing ¬ª Not At All Likely to Purchase ¬ª First Home/Residence In The Next Year (Financial)"/>
    <x v="0"/>
    <x v="1"/>
    <s v="Chicago, Illinois"/>
    <s v="Illinois"/>
    <s v="signupgenius.com"/>
    <s v="Magnite DV+"/>
    <x v="0"/>
    <n v="35335"/>
    <n v="120"/>
    <n v="22566"/>
    <n v="30685"/>
    <n v="15"/>
    <n v="1866.3474699999999"/>
    <n v="3.3960662232913543E-3"/>
    <n v="0.125"/>
    <n v="124.42316466666666"/>
    <n v="52.81866336493561"/>
    <n v="0.73540817989245555"/>
    <n v="82.706171674200121"/>
  </r>
  <r>
    <s v="Lotame ¬ª Online Shoppers ¬ª Online Shoppers"/>
    <x v="0"/>
    <x v="1"/>
    <s v="Grand Rapids-Kalamazoo, Michigan"/>
    <s v="Michigan"/>
    <s v="sciencealert.com"/>
    <s v="BidSwitch"/>
    <x v="1"/>
    <n v="13347"/>
    <n v="80"/>
    <n v="8357"/>
    <n v="11461"/>
    <n v="10"/>
    <n v="1543.6614199999999"/>
    <n v="5.9938562972952723E-3"/>
    <n v="0.125"/>
    <n v="154.366142"/>
    <n v="115.65605903948453"/>
    <n v="0.7291684844254428"/>
    <n v="184.71478042359698"/>
  </r>
  <r>
    <s v="Media and Entertainment ¬ª Sports and Recreational Activities ¬ª Interest (Affinity) ¬ª Olympics ¬ª Winter Olympics"/>
    <x v="1"/>
    <x v="3"/>
    <s v="Toledo, Ohio"/>
    <s v="Ohio"/>
    <s v="outlook.live.com"/>
    <s v="Google Ad Manager"/>
    <x v="1"/>
    <n v="21229"/>
    <n v="80"/>
    <n v="18073"/>
    <n v="19655"/>
    <n v="10"/>
    <n v="1550.0766550000001"/>
    <n v="3.7684299778604738E-3"/>
    <n v="0.125"/>
    <n v="155.0076655"/>
    <n v="73.016941683546094"/>
    <n v="0.91951157466293565"/>
    <n v="85.767534720301001"/>
  </r>
  <r>
    <s v="Online Behavior&gt;United States&gt;Autos and Vehicles ¬ª Brands&gt;Cadillac"/>
    <x v="1"/>
    <x v="0"/>
    <s v="South Bend-Elkhart, Indiana"/>
    <s v="Indiana"/>
    <s v="eenadu.net"/>
    <s v="Google Ad Manager"/>
    <x v="1"/>
    <n v="14011"/>
    <n v="40"/>
    <n v="5060"/>
    <n v="12459"/>
    <n v="5"/>
    <n v="5632.0879729999997"/>
    <n v="2.8548997216472772E-3"/>
    <n v="0.125"/>
    <n v="1126.4175946"/>
    <n v="401.97615966026694"/>
    <n v="0.40613211333172805"/>
    <n v="1113.0608642292489"/>
  </r>
  <r>
    <s v="Online Behavior&gt;United States&gt;Validated Demographic ¬ª Gender and Age Combined&gt;Females 25-34"/>
    <x v="0"/>
    <x v="3"/>
    <s v="Los Angeles, California"/>
    <s v="California"/>
    <s v="ign.com"/>
    <s v="Index Exchange"/>
    <x v="1"/>
    <n v="8273"/>
    <n v="24"/>
    <n v="1929"/>
    <n v="7441"/>
    <n v="3"/>
    <n v="4689.5210239999997"/>
    <n v="2.9010032636286715E-3"/>
    <n v="0.125"/>
    <n v="1563.1736746666666"/>
    <n v="566.84649147830294"/>
    <n v="0.25923934954979172"/>
    <n v="2431.0632576464486"/>
  </r>
  <r>
    <s v="Online Behavior&gt;United States&gt;Games&gt;Computer and Video Games"/>
    <x v="0"/>
    <x v="0"/>
    <s v="Chicago, Illinois"/>
    <s v="Illinois"/>
    <s v="bbc.com"/>
    <s v="PubMatic"/>
    <x v="2"/>
    <n v="26558"/>
    <n v="111"/>
    <n v="15761"/>
    <n v="23532"/>
    <n v="14"/>
    <n v="6751.5589810000001"/>
    <n v="4.1795315912342796E-3"/>
    <n v="0.12612612612612611"/>
    <n v="482.25421292857146"/>
    <n v="254.21940586640562"/>
    <n v="0.6697688254292028"/>
    <n v="428.37123158429034"/>
  </r>
  <r>
    <s v="Online Behavior&gt;United States&gt;Food and Drink&gt;Beverages ¬ª Bottled Water"/>
    <x v="1"/>
    <x v="2"/>
    <s v="New York City, New York"/>
    <s v="New York"/>
    <s v="forbes.com"/>
    <s v="Google Ad Manager"/>
    <x v="1"/>
    <n v="12879"/>
    <n v="71"/>
    <n v="7225"/>
    <n v="12173"/>
    <n v="9"/>
    <n v="5099.2824899999996"/>
    <n v="5.5128503765820326E-3"/>
    <n v="0.12676056338028169"/>
    <n v="566.58694333333324"/>
    <n v="395.93776613091075"/>
    <n v="0.59352665735644461"/>
    <n v="705.78304359861579"/>
  </r>
  <r>
    <s v="Online Behavior&gt;United States&gt;Intent ¬ª Auto Buyers ¬ª Car Make&gt;Vauxhall"/>
    <x v="1"/>
    <x v="2"/>
    <s v="San Francisco, California"/>
    <s v="California"/>
    <s v="nypost.com"/>
    <s v="Google Ad Manager"/>
    <x v="1"/>
    <n v="14038"/>
    <n v="63"/>
    <n v="1600"/>
    <n v="11345"/>
    <n v="8"/>
    <n v="6368.8629129999999"/>
    <n v="4.4878187776036475E-3"/>
    <n v="0.12698412698412698"/>
    <n v="796.10786412499999"/>
    <n v="453.68734242769625"/>
    <n v="0.14103129131776113"/>
    <n v="3980.5393206249996"/>
  </r>
  <r>
    <s v="Online Behavior&gt;United States&gt;Intent ¬ª Auto Buyers ¬ª Category&gt;Motorcycle"/>
    <x v="1"/>
    <x v="3"/>
    <s v="Los Angeles, California"/>
    <s v="California"/>
    <s v="fandom.com"/>
    <s v="Xandr - Monetize SSP (AppNexus)"/>
    <x v="1"/>
    <n v="15252"/>
    <n v="55"/>
    <n v="2152"/>
    <n v="3482"/>
    <n v="7"/>
    <n v="6211.2001469999996"/>
    <n v="3.6060844479412538E-3"/>
    <n v="0.12727272727272726"/>
    <n v="887.31430671428564"/>
    <n v="407.23840460267502"/>
    <n v="0.61803561171740384"/>
    <n v="2886.2454214684012"/>
  </r>
  <r>
    <s v="Online Behavior&gt;United States&gt;News&gt;Business News"/>
    <x v="1"/>
    <x v="0"/>
    <s v="Knoxville, Tennessee"/>
    <s v="Tennessee"/>
    <s v="finance.yahoo.com"/>
    <s v="OpenX"/>
    <x v="1"/>
    <n v="44505"/>
    <n v="125"/>
    <n v="18993"/>
    <n v="39522"/>
    <n v="16"/>
    <n v="6766.4753680000003"/>
    <n v="2.8086731827884509E-3"/>
    <n v="0.128"/>
    <n v="422.90471050000002"/>
    <n v="152.03854326480172"/>
    <n v="0.48056778503112191"/>
    <n v="356.26153677670726"/>
  </r>
  <r>
    <s v="US ¬ª B2B ¬ª B2B Decision Maker Responsibilities ¬ª Company Liability or Insurance"/>
    <x v="0"/>
    <x v="3"/>
    <s v="Miami-Ft. Lauderdale, Florida"/>
    <s v="Florida"/>
    <s v="citationmachine.net"/>
    <s v="Google Ad Manager"/>
    <x v="0"/>
    <n v="31443"/>
    <n v="70"/>
    <n v="19134"/>
    <n v="28059"/>
    <n v="9"/>
    <n v="2122.7658879999999"/>
    <n v="2.2262506758260981E-3"/>
    <n v="0.12857142857142856"/>
    <n v="235.86287644444442"/>
    <n v="67.511557039722661"/>
    <n v="0.68192023949534908"/>
    <n v="110.94208675655899"/>
  </r>
  <r>
    <s v="Online Behavior&gt;United States&gt;Intent ¬ª Travel&gt;Business Travel"/>
    <x v="0"/>
    <x v="2"/>
    <s v="New York City, New York"/>
    <s v="New York"/>
    <s v="gamerant.com"/>
    <s v="Google Ad Manager"/>
    <x v="1"/>
    <n v="17770"/>
    <n v="70"/>
    <n v="12771"/>
    <n v="16749"/>
    <n v="9"/>
    <n v="5195.2346770000004"/>
    <n v="3.9392234102419805E-3"/>
    <n v="0.12857142857142856"/>
    <n v="577.24829744444446"/>
    <n v="292.35985801913341"/>
    <n v="0.76249328318108545"/>
    <n v="406.79936394957326"/>
  </r>
  <r>
    <s v="Online Behavior&gt;United States&gt;Validated Demographic ¬ª Age&gt;55-64"/>
    <x v="0"/>
    <x v="3"/>
    <s v="Champaign &amp; Springfield-Decatur,Illinois"/>
    <s v="Illinois"/>
    <s v="accuweather.com"/>
    <s v="Magnite DV+"/>
    <x v="1"/>
    <n v="36863"/>
    <n v="116"/>
    <n v="3570"/>
    <n v="29458"/>
    <n v="15"/>
    <n v="4752.8166849999998"/>
    <n v="3.1467867509426795E-3"/>
    <n v="0.12931034482758622"/>
    <n v="316.85444566666666"/>
    <n v="128.93190150014919"/>
    <n v="0.12118949012152895"/>
    <n v="1331.321200280112"/>
  </r>
  <r>
    <s v="Online Behavior&gt;United States&gt;Validated Demographic ¬ª Gender and Age Combined&gt;Males 25-44"/>
    <x v="0"/>
    <x v="2"/>
    <s v="Nashville, Tennessee"/>
    <s v="Tennessee"/>
    <s v="cars.com"/>
    <s v="Google Ad Manager"/>
    <x v="2"/>
    <n v="47394"/>
    <n v="184"/>
    <n v="22712"/>
    <n v="41918"/>
    <n v="24"/>
    <n v="4701.4962370000003"/>
    <n v="3.8823479765371146E-3"/>
    <n v="0.13043478260869565"/>
    <n v="195.89567654166669"/>
    <n v="99.20024131746635"/>
    <n v="0.54181974330836391"/>
    <n v="207.00494174885526"/>
  </r>
  <r>
    <s v="Online Behavior&gt;United States&gt;Online Communities&gt;Blogging Resources and Services"/>
    <x v="1"/>
    <x v="2"/>
    <s v="Jacksonville, Florida"/>
    <s v="Florida"/>
    <s v="signin.ebay.com"/>
    <s v="Yahoo Exchange"/>
    <x v="1"/>
    <n v="18136"/>
    <n v="69"/>
    <n v="10842"/>
    <n v="14953"/>
    <n v="9"/>
    <n v="6860.3595969999997"/>
    <n v="3.8045875606528452E-3"/>
    <n v="0.13043478260869565"/>
    <n v="762.26217744444443"/>
    <n v="378.27302586016759"/>
    <n v="0.72507189192804122"/>
    <n v="632.75775659472424"/>
  </r>
  <r>
    <s v="Online Behavior&gt;United States&gt;The Changing Consumer&gt;B2B Work from Home"/>
    <x v="1"/>
    <x v="3"/>
    <s v="New York City, New York"/>
    <s v="New York"/>
    <s v="geeksforgeeks.org"/>
    <s v="BidSwitch"/>
    <x v="1"/>
    <n v="45397"/>
    <n v="114"/>
    <n v="716"/>
    <n v="6867"/>
    <n v="15"/>
    <n v="4582.4532909999998"/>
    <n v="2.5111791528074543E-3"/>
    <n v="0.13157894736842105"/>
    <n v="305.49688606666666"/>
    <n v="100.94176467607991"/>
    <n v="0.10426678316586574"/>
    <n v="6400.0744287709504"/>
  </r>
  <r>
    <s v="Lotame ¬ª Style, Fashion &amp; Clothing ¬ª Clothing Shoppers"/>
    <x v="0"/>
    <x v="0"/>
    <s v="Nashville, Tennessee"/>
    <s v="Tennessee"/>
    <s v="mail.yahoo.com"/>
    <s v="Index Exchange"/>
    <x v="1"/>
    <n v="19464"/>
    <n v="68"/>
    <n v="11814"/>
    <n v="17040"/>
    <n v="9"/>
    <n v="1540.4693500000001"/>
    <n v="3.4936292642827787E-3"/>
    <n v="0.13235294117647059"/>
    <n v="171.16326111111113"/>
    <n v="79.144541204274574"/>
    <n v="0.6933098591549296"/>
    <n v="130.3935457931268"/>
  </r>
  <r>
    <s v="Online Behavior&gt;United States&gt;B2B ¬ª Occupation&gt;Student"/>
    <x v="0"/>
    <x v="3"/>
    <s v="San Francisco, California"/>
    <s v="California"/>
    <s v="ebay.com"/>
    <s v="Google Ad Manager"/>
    <x v="0"/>
    <n v="39163"/>
    <n v="113"/>
    <n v="16254"/>
    <n v="36526"/>
    <n v="15"/>
    <n v="5692.765813"/>
    <n v="2.8853765033322269E-3"/>
    <n v="0.13274336283185842"/>
    <n v="379.51772086666665"/>
    <n v="145.36082049383347"/>
    <n v="0.44499808355691833"/>
    <n v="350.23783763996556"/>
  </r>
  <r>
    <s v="US ¬ª Multibuyer Behaviors ¬ª Club ¬ª Continuity Buyers"/>
    <x v="1"/>
    <x v="0"/>
    <s v="Miami-Ft. Lauderdale, Florida"/>
    <s v="Florida"/>
    <s v="zdnet.com"/>
    <s v="Index Exchange"/>
    <x v="1"/>
    <n v="12692"/>
    <n v="105"/>
    <n v="9048"/>
    <n v="12326"/>
    <n v="14"/>
    <n v="1541.7195979999999"/>
    <n v="8.2729278285534197E-3"/>
    <n v="0.13333333333333333"/>
    <n v="110.12282842857142"/>
    <n v="121.47176158209895"/>
    <n v="0.73405808859321764"/>
    <n v="170.39341268788684"/>
  </r>
  <r>
    <s v="US Financial ¬ª Likely In Market Timing ¬ª Not At All Likely to Purchase ¬ª Second House/Residence In The Next Year (Financial)"/>
    <x v="0"/>
    <x v="2"/>
    <s v="Los Angeles, California"/>
    <s v="California"/>
    <s v="maxroll.gg"/>
    <s v="Google Ad Manager"/>
    <x v="1"/>
    <n v="8944"/>
    <n v="45"/>
    <n v="3002"/>
    <n v="6361"/>
    <n v="6"/>
    <n v="1755.4845419999999"/>
    <n v="5.0313059033989267E-3"/>
    <n v="0.13333333333333333"/>
    <n v="292.58075700000001"/>
    <n v="196.27510532200355"/>
    <n v="0.47193837446942305"/>
    <n v="584.77166622251832"/>
  </r>
  <r>
    <s v="Online Behavior&gt;United States&gt;News&gt;Weather"/>
    <x v="0"/>
    <x v="2"/>
    <s v="New York City, New York"/>
    <s v="New York"/>
    <s v="wikihow.com"/>
    <s v="Google Ad Manager"/>
    <x v="1"/>
    <n v="9404"/>
    <n v="30"/>
    <n v="4781"/>
    <n v="7943"/>
    <n v="4"/>
    <n v="1345.3689999999999"/>
    <n v="3.1901318587834963E-3"/>
    <n v="0.13333333333333333"/>
    <n v="336.34224999999998"/>
    <n v="143.06348362398978"/>
    <n v="0.60191363464685887"/>
    <n v="281.39907969044134"/>
  </r>
  <r>
    <s v="US ¬ª B2B ¬ª B2B Decision Maker Responsibilities ¬ª Employee Benefits"/>
    <x v="1"/>
    <x v="0"/>
    <s v="Jacksonville, Florida"/>
    <s v="Florida"/>
    <s v="classmates.com"/>
    <s v="Magnite DV+"/>
    <x v="1"/>
    <n v="12451"/>
    <n v="30"/>
    <n v="2987"/>
    <n v="11295"/>
    <n v="4"/>
    <n v="2127.323828"/>
    <n v="2.4094450244960242E-3"/>
    <n v="0.13333333333333333"/>
    <n v="531.83095700000001"/>
    <n v="170.85566042888121"/>
    <n v="0.26445329791943339"/>
    <n v="712.19411717442256"/>
  </r>
  <r>
    <s v="Online Behavior&gt;United States&gt;Finance ¬ª Financial Planning and Management&gt;Retirement and Pension"/>
    <x v="1"/>
    <x v="1"/>
    <s v="Orlando-Daytona Beach, Florida"/>
    <s v="Florida"/>
    <s v="accuweather.com"/>
    <s v="PubMatic"/>
    <x v="1"/>
    <n v="18324"/>
    <n v="60"/>
    <n v="3145"/>
    <n v="13703"/>
    <n v="8"/>
    <n v="6996.2318379999997"/>
    <n v="3.2743942370661427E-3"/>
    <n v="0.13333333333333333"/>
    <n v="874.52897974999996"/>
    <n v="381.80702019209775"/>
    <n v="0.22951178574034883"/>
    <n v="2224.5570232114464"/>
  </r>
  <r>
    <s v="Online Behavior&gt;United States&gt;Internet and Telecom&gt;Web Services"/>
    <x v="1"/>
    <x v="0"/>
    <s v="Miami-Ft. Lauderdale, Florida"/>
    <s v="Florida"/>
    <s v="realtor.com"/>
    <s v="Magnite DV+"/>
    <x v="1"/>
    <n v="14581"/>
    <n v="45"/>
    <n v="3821"/>
    <n v="12741"/>
    <n v="6"/>
    <n v="5296.9700910000001"/>
    <n v="3.0862080790069269E-3"/>
    <n v="0.13333333333333333"/>
    <n v="882.82834850000006"/>
    <n v="363.27893086893903"/>
    <n v="0.29989796719252804"/>
    <n v="1386.2784849515833"/>
  </r>
  <r>
    <s v="Online Behavior&gt;United States&gt;B2B ¬ª Occupation&gt;Architect"/>
    <x v="0"/>
    <x v="0"/>
    <s v="Miami-Ft. Lauderdale, Florida"/>
    <s v="Florida"/>
    <s v="yourdailysportfix.com"/>
    <s v="Google Ad Manager"/>
    <x v="1"/>
    <n v="11420"/>
    <n v="67"/>
    <n v="4647"/>
    <n v="9909"/>
    <n v="9"/>
    <n v="3804.64417"/>
    <n v="5.8669001751313482E-3"/>
    <n v="0.13432835820895522"/>
    <n v="422.73824111111111"/>
    <n v="333.15623204903676"/>
    <n v="0.46896760520738723"/>
    <n v="818.73126102862057"/>
  </r>
  <r>
    <s v="US ¬ª Brand Propensities ¬ª Apparel ¬ª Shoebuy.com Buyer Propensity"/>
    <x v="1"/>
    <x v="3"/>
    <s v="Tampa-St Petersburg (Sarasota), Florida"/>
    <s v="Florida"/>
    <s v="realtor.com"/>
    <s v="BidSwitch"/>
    <x v="1"/>
    <n v="43666"/>
    <n v="133"/>
    <n v="18513"/>
    <n v="40506"/>
    <n v="18"/>
    <n v="1980.393834"/>
    <n v="3.0458480282141713E-3"/>
    <n v="0.13533834586466165"/>
    <n v="110.02187966666666"/>
    <n v="45.353222965236114"/>
    <n v="0.45704340097763296"/>
    <n v="106.97314503321991"/>
  </r>
  <r>
    <s v="Online Behavior&gt;United States&gt;People and Society&gt;Family and Relationships ¬ª Parents"/>
    <x v="1"/>
    <x v="0"/>
    <s v="West Palm Beach-Ft. Pierce, Florida"/>
    <s v="Florida"/>
    <s v="cbsnews.com"/>
    <s v="BidSwitch"/>
    <x v="1"/>
    <n v="115544"/>
    <n v="412"/>
    <n v="79182"/>
    <n v="109463"/>
    <n v="56"/>
    <n v="6721.0944529999997"/>
    <n v="3.5657411895035659E-3"/>
    <n v="0.13592233009708737"/>
    <n v="120.01954380357142"/>
    <n v="58.169134295160283"/>
    <n v="0.72336771329124905"/>
    <n v="84.881594971079281"/>
  </r>
  <r>
    <s v="Online Behavior&gt;United States&gt;Intent ¬ª Auto Buyers ¬ª Type&gt;Sedan"/>
    <x v="0"/>
    <x v="1"/>
    <s v="Chicago, Illinois"/>
    <s v="Illinois"/>
    <s v="mail.aol.com"/>
    <s v="Index Exchange"/>
    <x v="0"/>
    <n v="25889"/>
    <n v="110"/>
    <n v="18382"/>
    <n v="23328"/>
    <n v="15"/>
    <n v="4977.7847940000001"/>
    <n v="4.248908802966511E-3"/>
    <n v="0.13636363636363635"/>
    <n v="331.85231959999999"/>
    <n v="192.27412391363129"/>
    <n v="0.78798010973936905"/>
    <n v="270.79669209008813"/>
  </r>
  <r>
    <s v="Online Behavior&gt;United States&gt;Autos and Vehicles ¬ª Brands&gt;Buick"/>
    <x v="0"/>
    <x v="0"/>
    <s v="South Bend-Elkhart, Indiana"/>
    <s v="Indiana"/>
    <s v="signupgenius.com"/>
    <s v="Google Ad Manager"/>
    <x v="2"/>
    <n v="21599"/>
    <n v="66"/>
    <n v="13600"/>
    <n v="20256"/>
    <n v="9"/>
    <n v="5551.3874150000001"/>
    <n v="3.0556970230103246E-3"/>
    <n v="0.13636363636363635"/>
    <n v="616.82082388888887"/>
    <n v="257.02057572109823"/>
    <n v="0.67140600315955767"/>
    <n v="408.1902511029412"/>
  </r>
  <r>
    <s v="Online Behavior&gt;United States&gt;Intent ¬ª Travel&gt;Budget Travel"/>
    <x v="2"/>
    <x v="0"/>
    <s v="Los Angeles, California"/>
    <s v="California"/>
    <s v="yachtworld.com"/>
    <s v="PubMatic"/>
    <x v="1"/>
    <n v="10565"/>
    <n v="66"/>
    <n v="6248"/>
    <n v="10141"/>
    <n v="9"/>
    <n v="6236.1130940000003"/>
    <n v="6.2470421202082344E-3"/>
    <n v="0.13636363636363635"/>
    <n v="692.90145488888891"/>
    <n v="590.26153279697121"/>
    <n v="0.61611280938763435"/>
    <n v="998.09748623559551"/>
  </r>
  <r>
    <s v="Online Behavior&gt;United States&gt;Arts and Entertainment&gt;Celebrities and Entertainment News"/>
    <x v="1"/>
    <x v="3"/>
    <s v="Orlando-Daytona Beach, Florida"/>
    <s v="Florida"/>
    <s v="icy-veins.com"/>
    <s v="Google Ad Manager"/>
    <x v="1"/>
    <n v="9261"/>
    <n v="66"/>
    <n v="3852"/>
    <n v="8526"/>
    <n v="9"/>
    <n v="6511.0295759999999"/>
    <n v="7.1266601878846774E-3"/>
    <n v="0.13636363636363635"/>
    <n v="723.44773066666664"/>
    <n v="703.05901911240687"/>
    <n v="0.45179451090781142"/>
    <n v="1690.2984361370718"/>
  </r>
  <r>
    <s v="US ¬ª Reach ¬ª Propensity Models ¬ª Hobbies and Interest ¬ª Sports ¬ª Plays Soccer"/>
    <x v="0"/>
    <x v="2"/>
    <s v="Savannah, Georgia"/>
    <s v="Georgia"/>
    <s v="health.usnews.com"/>
    <s v="Google Ad Manager"/>
    <x v="1"/>
    <n v="8730"/>
    <n v="22"/>
    <n v="3725"/>
    <n v="7413"/>
    <n v="3"/>
    <n v="3268.007134"/>
    <n v="2.5200458190148913E-3"/>
    <n v="0.13636363636363635"/>
    <n v="1089.3357113333334"/>
    <n v="374.34216884306983"/>
    <n v="0.50249561581006341"/>
    <n v="877.317351409396"/>
  </r>
  <r>
    <s v="Online Behavior&gt;United States&gt;Finance ¬ª Banking&gt;Money Transfer and Wire Services"/>
    <x v="1"/>
    <x v="0"/>
    <s v="New York City, New York"/>
    <s v="New York"/>
    <s v="ebay.com"/>
    <s v="Google Ad Manager"/>
    <x v="1"/>
    <n v="221720"/>
    <n v="499"/>
    <n v="35178"/>
    <n v="196583"/>
    <n v="69"/>
    <n v="7890.221963"/>
    <n v="2.2505863250947139E-3"/>
    <n v="0.13827655310621242"/>
    <n v="114.35104294202898"/>
    <n v="35.586424152083708"/>
    <n v="0.17894731487463311"/>
    <n v="224.29421692535107"/>
  </r>
  <r>
    <s v="Online Behavior&gt;United States&gt;Validated Demographic ¬ª Age&gt;18-54"/>
    <x v="1"/>
    <x v="3"/>
    <s v="Knoxville, Tennessee"/>
    <s v="Tennessee"/>
    <s v="macrumors.com"/>
    <s v="PubMatic"/>
    <x v="1"/>
    <n v="12214"/>
    <n v="50"/>
    <n v="5376"/>
    <n v="11490"/>
    <n v="7"/>
    <n v="5616.3094019999999"/>
    <n v="4.0936630096610445E-3"/>
    <n v="0.14000000000000001"/>
    <n v="802.3299145714285"/>
    <n v="459.82556099557883"/>
    <n v="0.46788511749347256"/>
    <n v="1044.7004095982143"/>
  </r>
  <r>
    <s v="US ¬ª Reach ¬ª Propensity Models ¬ª Luxury Home Goods Store Shopper"/>
    <x v="1"/>
    <x v="1"/>
    <s v="San Francisco, California"/>
    <s v="California"/>
    <s v="classmates.com"/>
    <s v="Google Ad Manager"/>
    <x v="1"/>
    <n v="29107"/>
    <n v="64"/>
    <n v="4047"/>
    <n v="27357"/>
    <n v="9"/>
    <n v="3339.454322"/>
    <n v="2.1987837977118906E-3"/>
    <n v="0.140625"/>
    <n v="371.05048022222223"/>
    <n v="114.73028213144605"/>
    <n v="0.14793288737800198"/>
    <n v="825.16785816654317"/>
  </r>
  <r>
    <s v="Online Behavior&gt;United States&gt;Autos and Vehicles&gt;Vehicle Parts and Accessories"/>
    <x v="0"/>
    <x v="0"/>
    <s v="Miami-Ft. Lauderdale, Florida"/>
    <s v="Florida"/>
    <s v="pandora.com"/>
    <s v="Xandr - Monetize SSP (AppNexus)"/>
    <x v="1"/>
    <n v="58477"/>
    <n v="135"/>
    <n v="43554"/>
    <n v="56558"/>
    <n v="19"/>
    <n v="5247.6238830000002"/>
    <n v="2.3085999623783712E-3"/>
    <n v="0.14074074074074075"/>
    <n v="276.19073068421056"/>
    <n v="89.738254065701057"/>
    <n v="0.77007673538668264"/>
    <n v="120.48546363135419"/>
  </r>
  <r>
    <s v="Online Behavior&gt;United States&gt;Intent ¬ª Services&gt;Arts and Entertainment"/>
    <x v="0"/>
    <x v="1"/>
    <s v="Chicago, Illinois"/>
    <s v="Illinois"/>
    <s v="msn.com"/>
    <s v="Google Ad Manager"/>
    <x v="2"/>
    <n v="29834"/>
    <n v="99"/>
    <n v="14599"/>
    <n v="24656"/>
    <n v="14"/>
    <n v="6032.8371139999999"/>
    <n v="3.3183616008580813E-3"/>
    <n v="0.14141414141414141"/>
    <n v="430.91693671428573"/>
    <n v="202.2134850841322"/>
    <n v="0.59210739779364052"/>
    <n v="413.236325364751"/>
  </r>
  <r>
    <s v="US ¬ª Brand Propensities ¬ª Electronics ¬ª RadioShack Buyer Propensity"/>
    <x v="0"/>
    <x v="3"/>
    <s v="Nashville, Tennessee"/>
    <s v="Tennessee"/>
    <s v="msn.com"/>
    <s v="Google Ad Manager"/>
    <x v="0"/>
    <n v="60412"/>
    <n v="169"/>
    <n v="33457"/>
    <n v="52172"/>
    <n v="24"/>
    <n v="1679.5727079999999"/>
    <n v="2.7974574587830234E-3"/>
    <n v="0.14201183431952663"/>
    <n v="69.982196166666668"/>
    <n v="27.801971595047341"/>
    <n v="0.64128268036494673"/>
    <n v="50.200935768299601"/>
  </r>
  <r>
    <s v="Lotame ¬ª Style, Fashion &amp; Clothing ¬ª Women's Clothing Shoppers"/>
    <x v="1"/>
    <x v="0"/>
    <s v="Orlando-Daytona Beach, Florida"/>
    <s v="Florida"/>
    <s v="jdpower.com"/>
    <s v="Magnite DV+"/>
    <x v="1"/>
    <n v="9040"/>
    <n v="21"/>
    <n v="3585"/>
    <n v="8450"/>
    <n v="3"/>
    <n v="1473.192464"/>
    <n v="2.3230088495575221E-3"/>
    <n v="0.14285714285714285"/>
    <n v="491.06415466666664"/>
    <n v="162.96376814159294"/>
    <n v="0.42426035502958581"/>
    <n v="410.9323470013947"/>
  </r>
  <r>
    <s v="Online Behavior&gt;United States&gt;Validated Demographic ¬ª Gender and Age Combined&gt;Females 18-54"/>
    <x v="1"/>
    <x v="2"/>
    <s v="Chicago, Illinois"/>
    <s v="Illinois"/>
    <s v="daily-choices.com"/>
    <s v="PubMatic"/>
    <x v="1"/>
    <n v="28553"/>
    <n v="90"/>
    <n v="11390"/>
    <n v="23355"/>
    <n v="13"/>
    <n v="5573.1123960000004"/>
    <n v="3.1520330613245542E-3"/>
    <n v="0.14444444444444443"/>
    <n v="428.70095353846159"/>
    <n v="195.1848280741078"/>
    <n v="0.48769000214086922"/>
    <n v="489.2987178226515"/>
  </r>
  <r>
    <s v="Online Behavior&gt;United States&gt;Intent ¬ª Shopping&gt;Sports and Outdoors"/>
    <x v="1"/>
    <x v="0"/>
    <s v="New York City, New York"/>
    <s v="New York"/>
    <s v="findagrave.com"/>
    <s v="Magnite DV+"/>
    <x v="1"/>
    <n v="26304"/>
    <n v="75"/>
    <n v="12354"/>
    <n v="17500"/>
    <n v="11"/>
    <n v="4727.8139160000001"/>
    <n v="2.8512773722627737E-3"/>
    <n v="0.14666666666666667"/>
    <n v="429.80126509090911"/>
    <n v="179.73745118613141"/>
    <n v="0.70594285714285709"/>
    <n v="382.69499077221951"/>
  </r>
  <r>
    <s v="OnAudience ¬ª Intent ¬ª Education"/>
    <x v="1"/>
    <x v="0"/>
    <s v="Flint-Saginaw-Bay City, Michigan"/>
    <s v="Michigan"/>
    <s v="icy-veins.com"/>
    <s v="PubMatic"/>
    <x v="1"/>
    <n v="19344"/>
    <n v="68"/>
    <n v="2353"/>
    <n v="18261"/>
    <n v="10"/>
    <n v="1500.722291"/>
    <n v="3.5153019023986768E-3"/>
    <n v="0.14705882352941177"/>
    <n v="150.07222910000002"/>
    <n v="77.580763595947062"/>
    <n v="0.12885384152017962"/>
    <n v="637.79102889927753"/>
  </r>
  <r>
    <s v="Mobile - US ¬ª Sports ¬ª UFC Fans"/>
    <x v="1"/>
    <x v="1"/>
    <s v="Peoria-Bloomington, Illinois"/>
    <s v="Illinois"/>
    <s v="ign.com"/>
    <s v="Google Ad Manager"/>
    <x v="1"/>
    <n v="22180"/>
    <n v="60"/>
    <n v="4835"/>
    <n v="19291"/>
    <n v="9"/>
    <n v="1441.631095"/>
    <n v="2.7051397655545538E-3"/>
    <n v="0.15"/>
    <n v="160.18123277777778"/>
    <n v="64.99689337240757"/>
    <n v="0.25063501114509357"/>
    <n v="298.16568665977246"/>
  </r>
  <r>
    <s v="US ¬ª Reach ¬ª Propensity Models ¬ª Hobbies and Interest ¬ª Books ¬ª E-Book Reader"/>
    <x v="0"/>
    <x v="3"/>
    <s v="Charleston, South Carolina"/>
    <s v="South Carolina"/>
    <s v="yahoo.com"/>
    <s v="Magnite DV+"/>
    <x v="1"/>
    <n v="90123"/>
    <n v="60"/>
    <n v="33421"/>
    <n v="66729"/>
    <n v="9"/>
    <n v="3433.9142870000001"/>
    <n v="6.6575679904131021E-4"/>
    <n v="0.15"/>
    <n v="381.54603188888888"/>
    <n v="38.102529731589051"/>
    <n v="0.50084670832771361"/>
    <n v="102.74720346488735"/>
  </r>
  <r>
    <s v="US ¬ª Interest Propensities ¬ª Activities and Interests ¬ª International News"/>
    <x v="2"/>
    <x v="0"/>
    <s v="Rockford, Illinois"/>
    <s v="Illinois"/>
    <s v="bridesblush.com"/>
    <s v="Google Ad Manager"/>
    <x v="1"/>
    <n v="9946"/>
    <n v="20"/>
    <n v="4818"/>
    <n v="7382"/>
    <n v="3"/>
    <n v="1525.962329"/>
    <n v="2.0108586366378444E-3"/>
    <n v="0.15"/>
    <n v="508.65410966666667"/>
    <n v="153.42472642268248"/>
    <n v="0.65266865348144132"/>
    <n v="316.72111436280613"/>
  </r>
  <r>
    <s v="Online Behavior&gt;United States&gt;People and Society&gt;Seniors and Retirement"/>
    <x v="1"/>
    <x v="2"/>
    <s v="West Palm Beach-Ft. Pierce, Florida"/>
    <s v="Florida"/>
    <s v="healthline.com"/>
    <s v="Google Ad Manager"/>
    <x v="1"/>
    <n v="26820"/>
    <n v="80"/>
    <n v="13553"/>
    <n v="21192"/>
    <n v="12"/>
    <n v="6745.1034399999999"/>
    <n v="2.9828486204325128E-3"/>
    <n v="0.15"/>
    <n v="562.09195333333332"/>
    <n v="251.49528113348248"/>
    <n v="0.63953378633446578"/>
    <n v="497.68342359625171"/>
  </r>
  <r>
    <s v="Online Behavior&gt;United States&gt;The Changing Consumer&gt;Gaming Equipment"/>
    <x v="1"/>
    <x v="1"/>
    <s v="Chattanooga, Tennessee"/>
    <s v="Tennessee"/>
    <s v="cnet.com"/>
    <s v="TripleLift"/>
    <x v="1"/>
    <n v="7530"/>
    <n v="20"/>
    <n v="5468"/>
    <n v="7298"/>
    <n v="3"/>
    <n v="5038.7140669999999"/>
    <n v="2.6560424966799467E-3"/>
    <n v="0.15"/>
    <n v="1679.5713556666667"/>
    <n v="669.15193452855237"/>
    <n v="0.74924636886818308"/>
    <n v="921.4912339063643"/>
  </r>
  <r>
    <s v="Online Behavior&gt;United States&gt;Intent ¬ª Travel&gt;Travel"/>
    <x v="2"/>
    <x v="0"/>
    <s v="New York City, New York"/>
    <s v="New York"/>
    <s v="wikihow.com"/>
    <s v="PubMatic"/>
    <x v="1"/>
    <n v="11789"/>
    <n v="20"/>
    <n v="6187"/>
    <n v="10028"/>
    <n v="3"/>
    <n v="6505.5264559999996"/>
    <n v="1.6964967342437867E-3"/>
    <n v="0.15"/>
    <n v="2168.5088186666667"/>
    <n v="551.83021935702777"/>
    <n v="0.6169724770642202"/>
    <n v="1051.4831834491674"/>
  </r>
  <r>
    <s v="Online Behavior&gt;United States&gt;Sports&gt;Individual Sports ¬ª Track and Field"/>
    <x v="1"/>
    <x v="2"/>
    <s v="Chicago, Illinois"/>
    <s v="Illinois"/>
    <s v="mail.aol.com"/>
    <s v="Google Ad Manager"/>
    <x v="1"/>
    <n v="7514"/>
    <n v="20"/>
    <n v="2646"/>
    <n v="3373"/>
    <n v="3"/>
    <n v="6756.2951789999997"/>
    <n v="2.6616981634282671E-3"/>
    <n v="0.15"/>
    <n v="2252.0983929999998"/>
    <n v="899.16092347617769"/>
    <n v="0.7844648680699674"/>
    <n v="2553.3995385487528"/>
  </r>
  <r>
    <s v="Online Behavior&gt;United States&gt;Sports&gt;Individual Sports ¬ª Running and Walking"/>
    <x v="0"/>
    <x v="3"/>
    <s v="Nashville, Tennessee"/>
    <s v="Tennessee"/>
    <s v="cbsnews.com"/>
    <s v="BidSwitch"/>
    <x v="1"/>
    <n v="7229"/>
    <n v="20"/>
    <n v="5668"/>
    <n v="6760"/>
    <n v="3"/>
    <n v="6812.588702"/>
    <n v="2.7666343892654584E-3"/>
    <n v="0.15"/>
    <n v="2270.8629006666665"/>
    <n v="942.39710914372665"/>
    <n v="0.83846153846153848"/>
    <n v="1201.9387265349328"/>
  </r>
  <r>
    <s v="Online Behavior&gt;United States&gt;Online Communities&gt;Online Goodies"/>
    <x v="0"/>
    <x v="3"/>
    <s v="Miami-Ft. Lauderdale, Florida"/>
    <s v="Florida"/>
    <s v="people.com"/>
    <s v="OpenX"/>
    <x v="1"/>
    <n v="8187"/>
    <n v="20"/>
    <n v="4888"/>
    <n v="7510"/>
    <n v="3"/>
    <n v="6980.2293040000004"/>
    <n v="2.4428972761695372E-3"/>
    <n v="0.15"/>
    <n v="2326.7431013333335"/>
    <n v="852.59915768901931"/>
    <n v="0.6508655126498003"/>
    <n v="1428.0338183306058"/>
  </r>
  <r>
    <s v="US ¬ª Reach ¬ª Propensity Models ¬ª Young Adult Clothing Shoppers"/>
    <x v="1"/>
    <x v="2"/>
    <s v="New York City, New York"/>
    <s v="New York"/>
    <s v="sciencesensei.com"/>
    <s v="OpenX"/>
    <x v="1"/>
    <n v="20885"/>
    <n v="99"/>
    <n v="9901"/>
    <n v="16266"/>
    <n v="15"/>
    <n v="2496.7854360000001"/>
    <n v="4.740244194397893E-3"/>
    <n v="0.15151515151515152"/>
    <n v="166.4523624"/>
    <n v="119.54921886521427"/>
    <n v="0.60869297922045984"/>
    <n v="252.17507686092316"/>
  </r>
  <r>
    <s v="US ¬ª Interest Propensities ¬ª Activities and Interests ¬ª Buying and Selling Homes ¬ª Real Estate"/>
    <x v="0"/>
    <x v="0"/>
    <s v="Miami-Ft. Lauderdale, Florida"/>
    <s v="Florida"/>
    <s v="the-sun.com"/>
    <s v="Google Ad Manager"/>
    <x v="1"/>
    <n v="14799"/>
    <n v="59"/>
    <n v="1403"/>
    <n v="13410"/>
    <n v="9"/>
    <n v="1693.7604349999999"/>
    <n v="3.9867558618825599E-3"/>
    <n v="0.15254237288135594"/>
    <n v="188.19560388888888"/>
    <n v="114.45100581120346"/>
    <n v="0.1046234153616704"/>
    <n v="1207.2419351389879"/>
  </r>
  <r>
    <s v="Lotame ¬ª Style, Fashion &amp; Clothing ¬ª Children's Clothing Shoppers"/>
    <x v="1"/>
    <x v="1"/>
    <s v="Knoxville, Tennessee"/>
    <s v="Tennessee"/>
    <s v="lensvid.com"/>
    <s v="Yieldmo"/>
    <x v="1"/>
    <n v="9014"/>
    <n v="26"/>
    <n v="5054"/>
    <n v="7227"/>
    <n v="4"/>
    <n v="1539.60069"/>
    <n v="2.8844020412691369E-3"/>
    <n v="0.15384615384615385"/>
    <n v="384.9001725"/>
    <n v="170.80105280674508"/>
    <n v="0.6993219869932199"/>
    <n v="304.63013256826275"/>
  </r>
  <r>
    <s v="Online Behavior&gt;United States&gt;Life Event&gt;Home Buying"/>
    <x v="0"/>
    <x v="0"/>
    <s v="New York City, New York"/>
    <s v="New York"/>
    <s v="topclassactions.com"/>
    <s v="PubMatic"/>
    <x v="1"/>
    <n v="9362"/>
    <n v="39"/>
    <n v="5202"/>
    <n v="8928"/>
    <n v="6"/>
    <n v="7312.492757"/>
    <n v="4.1657765434736172E-3"/>
    <n v="0.15384615384615385"/>
    <n v="1218.7487928333333"/>
    <n v="781.08232824182869"/>
    <n v="0.58266129032258063"/>
    <n v="1405.7079502114573"/>
  </r>
  <r>
    <s v="US ¬ª Brand Propensities ¬ª Home and Household Goods ¬ª Pottery Barn Kids Buyer Propensity"/>
    <x v="0"/>
    <x v="2"/>
    <s v="Miami-Ft. Lauderdale, Florida"/>
    <s v="Florida"/>
    <s v="investmentguru.com"/>
    <s v="OpenX"/>
    <x v="0"/>
    <n v="31813"/>
    <n v="84"/>
    <n v="14149"/>
    <n v="21281"/>
    <n v="13"/>
    <n v="2060.9938820000002"/>
    <n v="2.6404300128878132E-3"/>
    <n v="0.15476190476190477"/>
    <n v="158.53799092307693"/>
    <n v="64.784644076321015"/>
    <n v="0.66486537286781633"/>
    <n v="145.66357212523855"/>
  </r>
  <r>
    <s v="Online Behavior&gt;United States&gt;The Changing Consumer&gt;Internet Connection"/>
    <x v="0"/>
    <x v="3"/>
    <s v="Chicago, Illinois"/>
    <s v="Illinois"/>
    <s v="businessinsider.com"/>
    <s v="Google Ad Manager"/>
    <x v="0"/>
    <n v="27202"/>
    <n v="70"/>
    <n v="5202"/>
    <n v="23474"/>
    <n v="11"/>
    <n v="4253.9791160000004"/>
    <n v="2.5733401955738548E-3"/>
    <n v="0.15714285714285714"/>
    <n v="386.72537418181821"/>
    <n v="156.3847921476362"/>
    <n v="0.22160688421232003"/>
    <n v="817.75838446751254"/>
  </r>
  <r>
    <s v="Online Behavior&gt;United States&gt;Autos and Vehicles ¬ª Brands&gt;Rolls-Royce"/>
    <x v="1"/>
    <x v="1"/>
    <s v="Tri-Cities, Tennessee-Virginia"/>
    <s v="Tennessee-Virginia"/>
    <s v="boattrader.com"/>
    <s v="BidSwitch"/>
    <x v="1"/>
    <n v="14047"/>
    <n v="44"/>
    <n v="9934"/>
    <n v="13377"/>
    <n v="7"/>
    <n v="5729.6507549999997"/>
    <n v="3.1323414252153485E-3"/>
    <n v="0.15909090909090909"/>
    <n v="818.52153642857138"/>
    <n v="407.89141845233854"/>
    <n v="0.74261792629139567"/>
    <n v="576.77176917656527"/>
  </r>
  <r>
    <s v="Online Behavior&gt;United States&gt;Beauty and Fitness&gt;Fitness ¬ª Gyms and Health Clubs"/>
    <x v="1"/>
    <x v="1"/>
    <s v="New York City, New York"/>
    <s v="New York"/>
    <s v="rollingstone.com"/>
    <s v="Google Ad Manager"/>
    <x v="1"/>
    <n v="25835"/>
    <n v="69"/>
    <n v="3753"/>
    <n v="20808"/>
    <n v="11"/>
    <n v="5751.9122969999999"/>
    <n v="2.6707954325527385E-3"/>
    <n v="0.15942028985507245"/>
    <n v="522.90111790909089"/>
    <n v="222.64030567060189"/>
    <n v="0.18036332179930795"/>
    <n v="1532.6171854516388"/>
  </r>
  <r>
    <s v="US ¬ª Interest Propensities ¬ª Celebrities ¬ª Celebrity Fan Gossip"/>
    <x v="1"/>
    <x v="0"/>
    <s v="New York City, New York"/>
    <s v="New York"/>
    <s v="mlb.com"/>
    <s v="Google Ad Manager"/>
    <x v="1"/>
    <n v="10012"/>
    <n v="25"/>
    <n v="5734"/>
    <n v="9413"/>
    <n v="4"/>
    <n v="1805.9260859999999"/>
    <n v="2.4970035956851776E-3"/>
    <n v="0.16"/>
    <n v="451.48152149999999"/>
    <n v="180.37615721134637"/>
    <n v="0.60915754807181555"/>
    <n v="314.9504858737356"/>
  </r>
  <r>
    <s v="Online Behavior&gt;United States&gt;Intent ¬ª Auto Buyers ¬ª Car Make&gt;Volkswagen"/>
    <x v="0"/>
    <x v="1"/>
    <s v="Chicago, Illinois"/>
    <s v="Illinois"/>
    <s v="androidauthority.com"/>
    <s v="PubMatic"/>
    <x v="1"/>
    <n v="14451"/>
    <n v="50"/>
    <n v="5606"/>
    <n v="13461"/>
    <n v="8"/>
    <n v="6397.6025179999997"/>
    <n v="3.4599681682928518E-3"/>
    <n v="0.16"/>
    <n v="799.70031474999996"/>
    <n v="442.7100213134039"/>
    <n v="0.41646237278062553"/>
    <n v="1141.2063000356759"/>
  </r>
  <r>
    <s v="US ¬ª Reach ¬ª Propensity Models ¬ª Hobbies and Interest ¬ª Sports ¬ª Canoeing ¬ª Kayaking"/>
    <x v="0"/>
    <x v="0"/>
    <s v="San Francisco, California"/>
    <s v="California"/>
    <s v="thebigmansworld.com"/>
    <s v="BidSwitch"/>
    <x v="1"/>
    <n v="10653"/>
    <n v="68"/>
    <n v="5263"/>
    <n v="9921"/>
    <n v="11"/>
    <n v="2641.4783969999999"/>
    <n v="6.3831784473857133E-3"/>
    <n v="0.16176470588235295"/>
    <n v="240.13439972727272"/>
    <n v="247.95629372007883"/>
    <n v="0.53049087793569194"/>
    <n v="501.89595230856924"/>
  </r>
  <r>
    <s v="Online Behavior&gt;United States&gt;B2B ¬ª Occupation&gt;Musician"/>
    <x v="0"/>
    <x v="0"/>
    <s v="Chicago, Illinois"/>
    <s v="Illinois"/>
    <s v="ajc.com"/>
    <s v="Xandr - Monetize SSP (AppNexus)"/>
    <x v="0"/>
    <n v="17833"/>
    <n v="61"/>
    <n v="8670"/>
    <n v="16871"/>
    <n v="10"/>
    <n v="4899.1559550000002"/>
    <n v="3.4206246845735434E-3"/>
    <n v="0.16393442622950818"/>
    <n v="489.91559549999999"/>
    <n v="274.72416054505698"/>
    <n v="0.51389959101416627"/>
    <n v="565.06989100346027"/>
  </r>
  <r>
    <s v="US ¬ª Interest Propensities ¬ª Insurance ¬ª Humana"/>
    <x v="2"/>
    <x v="1"/>
    <s v="Ft. Myers-Naples, Florida"/>
    <s v="Florida"/>
    <s v="mlb.com"/>
    <s v="Kargo"/>
    <x v="1"/>
    <n v="12459"/>
    <n v="84"/>
    <n v="7290"/>
    <n v="11731"/>
    <n v="14"/>
    <n v="1593.010399"/>
    <n v="6.7421141343607027E-3"/>
    <n v="0.16666666666666666"/>
    <n v="113.78645707142857"/>
    <n v="127.86021342001766"/>
    <n v="0.62143039809052936"/>
    <n v="218.51994499314128"/>
  </r>
  <r>
    <s v="OnAudience ¬ª Interest ¬ª Education"/>
    <x v="1"/>
    <x v="1"/>
    <s v="Miami-Ft. Lauderdale, Florida"/>
    <s v="Florida"/>
    <s v="politico.com"/>
    <s v="BidSwitch"/>
    <x v="1"/>
    <n v="20165"/>
    <n v="60"/>
    <n v="6601"/>
    <n v="18909"/>
    <n v="10"/>
    <n v="1743.0786869999999"/>
    <n v="2.9754525167369206E-3"/>
    <n v="0.16666666666666666"/>
    <n v="174.3078687"/>
    <n v="86.440797768410619"/>
    <n v="0.34909302448569463"/>
    <n v="264.06282184517494"/>
  </r>
  <r>
    <s v="US ¬ª Reach ¬ª Sociodemographic ¬ª Dwelling Size ¬ª 1 Unit"/>
    <x v="2"/>
    <x v="3"/>
    <s v="San Francisco, California"/>
    <s v="California"/>
    <s v="bbc.com"/>
    <s v="BidSwitch"/>
    <x v="1"/>
    <n v="13686"/>
    <n v="66"/>
    <n v="7928"/>
    <n v="11931"/>
    <n v="11"/>
    <n v="4660.5603689999998"/>
    <n v="4.8224462954844366E-3"/>
    <n v="0.16666666666666666"/>
    <n v="423.68730627272726"/>
    <n v="340.53488009644889"/>
    <n v="0.66448746961696425"/>
    <n v="587.86079326437937"/>
  </r>
  <r>
    <s v="US ¬ªQuality-First Shopper Audience"/>
    <x v="0"/>
    <x v="3"/>
    <s v="Nashville, Tennessee"/>
    <s v="Tennessee"/>
    <s v="wikihow.com"/>
    <s v="Google Ad Manager"/>
    <x v="0"/>
    <n v="16142"/>
    <n v="30"/>
    <n v="7064"/>
    <n v="15433"/>
    <n v="5"/>
    <n v="2209.6509569999998"/>
    <n v="1.8585057613678603E-3"/>
    <n v="0.16666666666666666"/>
    <n v="441.93019139999996"/>
    <n v="136.88830113988354"/>
    <n v="0.45772046912460312"/>
    <n v="312.80449561155154"/>
  </r>
  <r>
    <s v="Online Behavior&gt;United States&gt;Intent ¬ª Shopping&gt;Home Improvement"/>
    <x v="1"/>
    <x v="0"/>
    <s v="Orlando-Daytona Beach, Florida"/>
    <s v="Florida"/>
    <s v="wordunscrambler.me"/>
    <s v="Google Ad Manager"/>
    <x v="1"/>
    <n v="9357"/>
    <n v="60"/>
    <n v="1754"/>
    <n v="8343"/>
    <n v="10"/>
    <n v="6559.4777560000002"/>
    <n v="6.4123116383456233E-3"/>
    <n v="0.16666666666666666"/>
    <n v="655.9477756"/>
    <n v="701.02359260446735"/>
    <n v="0.21023612609373127"/>
    <n v="3739.7250604332953"/>
  </r>
  <r>
    <s v="US ¬ªPrice-Driven Traditionalist Audience"/>
    <x v="0"/>
    <x v="3"/>
    <s v="Knoxville, Tennessee"/>
    <s v="Tennessee"/>
    <s v="screenrant.com"/>
    <s v="Sovrn"/>
    <x v="0"/>
    <n v="35043"/>
    <n v="140"/>
    <n v="20942"/>
    <n v="33479"/>
    <n v="24"/>
    <n v="1527.9762800000001"/>
    <n v="3.9950917444282735E-3"/>
    <n v="0.17142857142857143"/>
    <n v="63.665678333333339"/>
    <n v="43.602895870787322"/>
    <n v="0.62552644941605184"/>
    <n v="72.962290134657621"/>
  </r>
  <r>
    <s v="Online Behavior&gt;United States&gt;Intent ¬ª Shopping&gt;Drug Stores ¬ª Walgreens"/>
    <x v="2"/>
    <x v="0"/>
    <s v="New York City, New York"/>
    <s v="New York"/>
    <s v="usatoday.com"/>
    <s v="Google Ad Manager"/>
    <x v="1"/>
    <n v="39373"/>
    <n v="99"/>
    <n v="23152"/>
    <n v="35857"/>
    <n v="17"/>
    <n v="6342.8857859999998"/>
    <n v="2.5144134305234551E-3"/>
    <n v="0.17171717171717171"/>
    <n v="373.11092858823531"/>
    <n v="161.09734554136082"/>
    <n v="0.64567587918676972"/>
    <n v="273.96707783344851"/>
  </r>
  <r>
    <s v="US ¬ª Reach ¬ª Propensity Models ¬ª Hobbies and Interest ¬ª Cultural Arts"/>
    <x v="0"/>
    <x v="0"/>
    <s v="Peoria-Bloomington, Illinois"/>
    <s v="Illinois"/>
    <s v="people.com"/>
    <s v="Google Ad Manager"/>
    <x v="1"/>
    <n v="17620"/>
    <n v="52"/>
    <n v="11197"/>
    <n v="16687"/>
    <n v="9"/>
    <n v="2407.7943249999998"/>
    <n v="2.9511918274687855E-3"/>
    <n v="0.17307692307692307"/>
    <n v="267.53270277777779"/>
    <n v="136.6512102724177"/>
    <n v="0.67100137831845152"/>
    <n v="215.03923595605963"/>
  </r>
  <r>
    <s v="Online Behavior&gt;United States&gt;Intent ¬ª Travel&gt;Cruises"/>
    <x v="2"/>
    <x v="0"/>
    <s v="San Francisco, California"/>
    <s v="California"/>
    <s v="doctoreport.com"/>
    <s v="Index Exchange"/>
    <x v="1"/>
    <n v="9560"/>
    <n v="98"/>
    <n v="3076"/>
    <n v="6252"/>
    <n v="17"/>
    <n v="6420.2181229999997"/>
    <n v="1.0251046025104602E-2"/>
    <n v="0.17346938775510204"/>
    <n v="377.65988958823527"/>
    <n v="671.57093336820071"/>
    <n v="0.49200255918106206"/>
    <n v="2087.197049089727"/>
  </r>
  <r>
    <s v="Travel"/>
    <x v="0"/>
    <x v="1"/>
    <s v="Miami-Ft. Lauderdale, Florida"/>
    <s v="Florida"/>
    <s v="whatismyipaddress.com"/>
    <s v="BidSwitch"/>
    <x v="1"/>
    <n v="12319"/>
    <n v="40"/>
    <n v="7028"/>
    <n v="10191"/>
    <n v="7"/>
    <n v="1668.0160000000001"/>
    <n v="3.247016803311957E-3"/>
    <n v="0.17499999999999999"/>
    <n v="238.28800000000001"/>
    <n v="135.40189950482994"/>
    <n v="0.68962810322833878"/>
    <n v="237.33864541832671"/>
  </r>
  <r>
    <s v="Online Behavior&gt;United States&gt;Autos and Vehicles ¬ª Brands&gt;Peugeot"/>
    <x v="1"/>
    <x v="3"/>
    <s v="Chicago, Illinois"/>
    <s v="Illinois"/>
    <s v="todaysnyc.com"/>
    <s v="Google Ad Manager"/>
    <x v="1"/>
    <n v="17317"/>
    <n v="68"/>
    <n v="8055"/>
    <n v="12724"/>
    <n v="12"/>
    <n v="5668.8570790000003"/>
    <n v="3.9267771553964312E-3"/>
    <n v="0.17647058823529413"/>
    <n v="472.40475658333338"/>
    <n v="327.35791875036091"/>
    <n v="0.63305564287959759"/>
    <n v="703.76872489137179"/>
  </r>
  <r>
    <s v="Online Behavior&gt;United States&gt;Finance ¬ª Investing&gt;Commodities and Futures Trading"/>
    <x v="0"/>
    <x v="2"/>
    <s v="Los Angeles, California"/>
    <s v="California"/>
    <s v="nbcmiami.com"/>
    <s v="Google Ad Manager"/>
    <x v="1"/>
    <n v="11476"/>
    <n v="45"/>
    <n v="4963"/>
    <n v="10991"/>
    <n v="8"/>
    <n v="7227.4173490000003"/>
    <n v="3.921226908330429E-3"/>
    <n v="0.17777777777777778"/>
    <n v="903.42716862500004"/>
    <n v="629.78540859184386"/>
    <n v="0.45155126922027111"/>
    <n v="1456.2597922627444"/>
  </r>
  <r>
    <s v="Media and Entertainment ¬ª Audio and Video Streaming ¬ª Streaming Video ¬ª Interest (Affinity) ¬ª Streaming Services"/>
    <x v="0"/>
    <x v="1"/>
    <s v="Orlando-Daytona Beach, Florida"/>
    <s v="Florida"/>
    <s v="yahoo.com"/>
    <s v="Google Ad Manager"/>
    <x v="2"/>
    <n v="17049"/>
    <n v="84"/>
    <n v="191"/>
    <n v="15564"/>
    <n v="15"/>
    <n v="2144.489587"/>
    <n v="4.9269751891606543E-3"/>
    <n v="0.17857142857142858"/>
    <n v="142.96597246666667"/>
    <n v="125.7838927209807"/>
    <n v="1.2271909534823953E-2"/>
    <n v="11227.694172774869"/>
  </r>
  <r>
    <s v="Online Behavior&gt;United States&gt;Intent ¬ª Financial Intent&gt;Banking"/>
    <x v="2"/>
    <x v="0"/>
    <s v="San Francisco, California"/>
    <s v="California"/>
    <s v="mydailymagazine.com"/>
    <s v="Google Ad Manager"/>
    <x v="1"/>
    <n v="9238"/>
    <n v="84"/>
    <n v="4626"/>
    <n v="8264"/>
    <n v="15"/>
    <n v="6683.2254869999997"/>
    <n v="9.0928772461571772E-3"/>
    <n v="0.17857142857142858"/>
    <n v="445.5483658"/>
    <n v="723.44939240095255"/>
    <n v="0.5597773475314618"/>
    <n v="1444.7093573281452"/>
  </r>
  <r>
    <s v="Online Behavior&gt;United States&gt;Games&gt;Family-Oriented Games and Activities"/>
    <x v="0"/>
    <x v="2"/>
    <s v="Los Angeles, California"/>
    <s v="California"/>
    <s v="findagrave.com"/>
    <s v="BidSwitch"/>
    <x v="0"/>
    <n v="25021"/>
    <n v="50"/>
    <n v="11084"/>
    <n v="18079"/>
    <n v="9"/>
    <n v="4961.4788840000001"/>
    <n v="1.998321410015587E-3"/>
    <n v="0.18"/>
    <n v="551.27543155555554"/>
    <n v="198.29258958474881"/>
    <n v="0.61308700702472485"/>
    <n v="447.62530530494411"/>
  </r>
  <r>
    <s v="Lotame ¬ª Technology"/>
    <x v="1"/>
    <x v="0"/>
    <s v="San Francisco, California"/>
    <s v="California"/>
    <s v="m.timesofindia.com"/>
    <s v="Google Ad Manager"/>
    <x v="1"/>
    <n v="9059"/>
    <n v="22"/>
    <n v="589"/>
    <n v="7480"/>
    <n v="4"/>
    <n v="1908.5261170000001"/>
    <n v="2.4285241196600068E-3"/>
    <n v="0.18181818181818182"/>
    <n v="477.13152925000003"/>
    <n v="210.67735036979801"/>
    <n v="7.8743315508021397E-2"/>
    <n v="3240.2820322580646"/>
  </r>
  <r>
    <s v="Online Behavior&gt;United States&gt;Intent ¬ª Travel&gt;Accommodation ¬ª Hotels"/>
    <x v="2"/>
    <x v="3"/>
    <s v="Nashville, Tennessee"/>
    <s v="Tennessee"/>
    <s v="dailymail.co.uk/news"/>
    <s v="Google Ad Manager"/>
    <x v="1"/>
    <n v="14137"/>
    <n v="44"/>
    <n v="9300"/>
    <n v="13110"/>
    <n v="8"/>
    <n v="6345.4603379999999"/>
    <n v="3.1124000848836387E-3"/>
    <n v="0.18181818181818182"/>
    <n v="793.18254224999998"/>
    <n v="448.85480215038547"/>
    <n v="0.70938215102974833"/>
    <n v="682.30756322580635"/>
  </r>
  <r>
    <s v="Online Behavior&gt;United States&gt;Intent ¬ª Travel&gt;Graduation Trip"/>
    <x v="0"/>
    <x v="0"/>
    <s v="Chicago, Illinois"/>
    <s v="Illinois"/>
    <s v="sallysbakingaddiction.com"/>
    <s v="Google Ad Manager"/>
    <x v="0"/>
    <n v="26415"/>
    <n v="60"/>
    <n v="13791"/>
    <n v="25315"/>
    <n v="11"/>
    <n v="6450.9186369999998"/>
    <n v="2.2714366837024418E-3"/>
    <n v="0.18333333333333332"/>
    <n v="586.44714881818174"/>
    <n v="244.21422059435926"/>
    <n v="0.54477582460991503"/>
    <n v="467.76293503009208"/>
  </r>
  <r>
    <s v="US ¬ª B2B ¬ª B2B Decision Maker Responsibilities ¬ª Sales"/>
    <x v="0"/>
    <x v="1"/>
    <s v="Tampa-St Petersburg (Sarasota), Florida"/>
    <s v="Florida"/>
    <s v="foxnews.com"/>
    <s v="Google Ad Manager"/>
    <x v="0"/>
    <n v="19951"/>
    <n v="81"/>
    <n v="10511"/>
    <n v="18132"/>
    <n v="15"/>
    <n v="1801.14885"/>
    <n v="4.0599468698310865E-3"/>
    <n v="0.18518518518518517"/>
    <n v="120.07659"/>
    <n v="90.278625131572355"/>
    <n v="0.57969335980586811"/>
    <n v="171.35846731995053"/>
  </r>
  <r>
    <s v="OnAudience ¬ª Intent"/>
    <x v="1"/>
    <x v="3"/>
    <s v="Chicago, Illinois"/>
    <s v="Illinois"/>
    <s v="slickdeals.net"/>
    <s v="Google Ad Manager"/>
    <x v="1"/>
    <n v="19212"/>
    <n v="54"/>
    <n v="6872"/>
    <n v="14248"/>
    <n v="10"/>
    <n v="2133.0771129999998"/>
    <n v="2.8107432854465957E-3"/>
    <n v="0.18518518518518517"/>
    <n v="213.30771129999999"/>
    <n v="111.02837356860294"/>
    <n v="0.48231330713082537"/>
    <n v="310.40120969150172"/>
  </r>
  <r>
    <s v="OnAudience ¬ª Intent ¬ª Baby &amp; Toddler"/>
    <x v="0"/>
    <x v="2"/>
    <s v="Memphis, Tennessee"/>
    <s v="Tennessee"/>
    <s v="topclassactions.com"/>
    <s v="Index Exchange"/>
    <x v="0"/>
    <n v="16628"/>
    <n v="70"/>
    <n v="7974"/>
    <n v="15969"/>
    <n v="13"/>
    <n v="1665.9658509999999"/>
    <n v="4.2097666586480634E-3"/>
    <n v="0.18571428571428572"/>
    <n v="128.15121930769232"/>
    <n v="100.19039277122924"/>
    <n v="0.49934247604734172"/>
    <n v="208.92473676950087"/>
  </r>
  <r>
    <s v="Online Behavior&gt;United States&gt;Intent ¬ª Shopping&gt;Home and Garden"/>
    <x v="1"/>
    <x v="1"/>
    <s v="Ft. Myers-Naples, Florida"/>
    <s v="Florida"/>
    <s v="msn.com"/>
    <s v="Google Ad Manager"/>
    <x v="1"/>
    <n v="26270"/>
    <n v="63"/>
    <n v="12813"/>
    <n v="21893"/>
    <n v="12"/>
    <n v="6417.2645640000001"/>
    <n v="2.398172820708032E-3"/>
    <n v="0.19047619047619047"/>
    <n v="534.77204700000004"/>
    <n v="244.28110255043777"/>
    <n v="0.58525556113826338"/>
    <n v="500.84012830718802"/>
  </r>
  <r>
    <s v="Online Behavior&gt;United States&gt;Intent ¬ª Shopping&gt;Pet Food ¬ª Dog"/>
    <x v="1"/>
    <x v="0"/>
    <s v="Chicago, Illinois"/>
    <s v="Illinois"/>
    <s v="yourdailysportfix.com"/>
    <s v="Google Ad Manager"/>
    <x v="1"/>
    <n v="18516"/>
    <n v="68"/>
    <n v="8191"/>
    <n v="13641"/>
    <n v="13"/>
    <n v="5087.5617149999998"/>
    <n v="3.67249945992655E-3"/>
    <n v="0.19117647058823528"/>
    <n v="391.35090115384617"/>
    <n v="274.76570074530139"/>
    <n v="0.60046917381423648"/>
    <n v="621.11606824563546"/>
  </r>
  <r>
    <s v="Online Behavior&gt;United States&gt;Intent ¬ª Auto Buyers ¬ª Type&gt;Crossover"/>
    <x v="1"/>
    <x v="2"/>
    <s v="Chicago, Illinois"/>
    <s v="Illinois"/>
    <s v="usatoday.com"/>
    <s v="Google Ad Manager"/>
    <x v="1"/>
    <n v="25539"/>
    <n v="78"/>
    <n v="12130"/>
    <n v="24129"/>
    <n v="15"/>
    <n v="4804.4932330000001"/>
    <n v="3.0541524726888287E-3"/>
    <n v="0.19230769230769232"/>
    <n v="320.29954886666667"/>
    <n v="188.12378061004736"/>
    <n v="0.50271457582162538"/>
    <n v="396.08353116240727"/>
  </r>
  <r>
    <s v="OnAudience ¬ª Intent ¬ª Baby &amp; Toddler ¬ª Baby Toys"/>
    <x v="0"/>
    <x v="3"/>
    <s v="Augusta, Georgia"/>
    <s v="Georgia"/>
    <s v="poshland.com"/>
    <s v="Magnite DV+"/>
    <x v="0"/>
    <n v="16669"/>
    <n v="26"/>
    <n v="10961"/>
    <n v="15451"/>
    <n v="5"/>
    <n v="1658.358536"/>
    <n v="1.5597816305717199E-3"/>
    <n v="0.19230769230769232"/>
    <n v="331.67170720000001"/>
    <n v="99.487583898254243"/>
    <n v="0.70940392207624103"/>
    <n v="151.29628099625944"/>
  </r>
  <r>
    <s v="Online Behavior&gt;United States&gt;Food and Drink&gt;Beverages ¬ª Beer"/>
    <x v="0"/>
    <x v="3"/>
    <s v="Chicago, Illinois"/>
    <s v="Illinois"/>
    <s v="zillow.com"/>
    <s v="Index Exchange"/>
    <x v="2"/>
    <n v="26212"/>
    <n v="77"/>
    <n v="12726"/>
    <n v="24442"/>
    <n v="15"/>
    <n v="6452.9350100000001"/>
    <n v="2.9375858385472303E-3"/>
    <n v="0.19480519480519481"/>
    <n v="430.19566733333335"/>
    <n v="246.18247405768352"/>
    <n v="0.52066115702479343"/>
    <n v="507.06702891717742"/>
  </r>
  <r>
    <s v="Tech Enthusiasts"/>
    <x v="1"/>
    <x v="1"/>
    <s v="Miami-Ft. Lauderdale, Florida"/>
    <s v="Florida"/>
    <s v="nypost.com"/>
    <s v="Google Ad Manager"/>
    <x v="1"/>
    <n v="29092"/>
    <n v="75"/>
    <n v="16986"/>
    <n v="26606"/>
    <n v="15"/>
    <n v="1801.0581110000001"/>
    <n v="2.5780283239378522E-3"/>
    <n v="0.2"/>
    <n v="120.07054073333333"/>
    <n v="61.909050976213393"/>
    <n v="0.63842742238592798"/>
    <n v="106.03191516543036"/>
  </r>
  <r>
    <s v="Mobile - US ¬ª Automotive ¬ª Vehicle Ownership ¬ª Brand ¬ª BMW"/>
    <x v="1"/>
    <x v="3"/>
    <s v="Nashville, Tennessee"/>
    <s v="Tennessee"/>
    <s v="uscellular.com"/>
    <s v="BidSwitch"/>
    <x v="1"/>
    <n v="17561"/>
    <n v="50"/>
    <n v="2960"/>
    <n v="9953"/>
    <n v="10"/>
    <n v="1519.90401"/>
    <n v="2.8472182677524061E-3"/>
    <n v="0.2"/>
    <n v="151.99040099999999"/>
    <n v="86.549969250042707"/>
    <n v="0.29739776951672864"/>
    <n v="513.48108445945945"/>
  </r>
  <r>
    <s v="Online Behavior&gt;United States&gt;News&gt;Local News"/>
    <x v="1"/>
    <x v="1"/>
    <s v="Memphis, Tennessee"/>
    <s v="Tennessee"/>
    <s v="realtor.com"/>
    <s v="Yahoo Exchange"/>
    <x v="1"/>
    <n v="44889"/>
    <n v="125"/>
    <n v="17477"/>
    <n v="38621"/>
    <n v="25"/>
    <n v="6644.954146"/>
    <n v="2.7846465726569982E-3"/>
    <n v="0.2"/>
    <n v="265.79816584000002"/>
    <n v="148.03079030497449"/>
    <n v="0.45252582791745422"/>
    <n v="380.21137186015903"/>
  </r>
  <r>
    <s v="Online Behavior&gt;United States&gt;Validated Demographic ¬ª Gender and Age Combined&gt;Females 25 or older"/>
    <x v="0"/>
    <x v="0"/>
    <s v="Los Angeles, California"/>
    <s v="California"/>
    <s v="abcnews.go.com"/>
    <s v="Google Ad Manager"/>
    <x v="2"/>
    <n v="10524"/>
    <n v="55"/>
    <n v="7601"/>
    <n v="10242"/>
    <n v="11"/>
    <n v="6136.1339019999996"/>
    <n v="5.2261497529456479E-3"/>
    <n v="0.2"/>
    <n v="557.83035472727272"/>
    <n v="583.06099410870388"/>
    <n v="0.74214020699082206"/>
    <n v="807.27981870806468"/>
  </r>
  <r>
    <s v="Online Behavior&gt;United States&gt;Autos and Vehicles&gt;Hybrid and Alternative Vehicles"/>
    <x v="2"/>
    <x v="2"/>
    <s v="New York City, New York"/>
    <s v="New York"/>
    <s v="hindustantimes.com"/>
    <s v="Google Ad Manager"/>
    <x v="1"/>
    <n v="17518"/>
    <n v="60"/>
    <n v="11513"/>
    <n v="16192"/>
    <n v="12"/>
    <n v="6765.0003999999999"/>
    <n v="3.4250485215207216E-3"/>
    <n v="0.2"/>
    <n v="563.75003333333336"/>
    <n v="386.17424363511816"/>
    <n v="0.7110301383399209"/>
    <n v="587.59666463997212"/>
  </r>
  <r>
    <s v="Online Behavior&gt;United States&gt;Arts and Entertainment&gt;TV and Video"/>
    <x v="2"/>
    <x v="0"/>
    <s v="New York City, New York"/>
    <s v="New York"/>
    <s v="msn.com"/>
    <s v="BidSwitch"/>
    <x v="1"/>
    <n v="13946"/>
    <n v="40"/>
    <n v="3142"/>
    <n v="8823"/>
    <n v="8"/>
    <n v="4920.2346299999999"/>
    <n v="2.8682059371862899E-3"/>
    <n v="0.2"/>
    <n v="615.02932874999999"/>
    <n v="352.8061544528897"/>
    <n v="0.35611470021534625"/>
    <n v="1565.9562794398471"/>
  </r>
  <r>
    <s v="Online Behavior&gt;United States&gt;Intent ¬ª Auto Buyers ¬ª Car Make&gt;Subaru"/>
    <x v="0"/>
    <x v="1"/>
    <s v="Los Angeles, California"/>
    <s v="California"/>
    <s v="signupgenius.com"/>
    <s v="Magnite DV+"/>
    <x v="2"/>
    <n v="7965"/>
    <n v="50"/>
    <n v="5230"/>
    <n v="6923"/>
    <n v="10"/>
    <n v="6298.5139289999997"/>
    <n v="6.2774639045825482E-3"/>
    <n v="0.2"/>
    <n v="629.85139289999995"/>
    <n v="790.77387683615814"/>
    <n v="0.75545283836487076"/>
    <n v="1204.3047665391969"/>
  </r>
  <r>
    <s v="Online Behavior&gt;United States&gt;Sports&gt;Sports League ¬ª MLB"/>
    <x v="1"/>
    <x v="3"/>
    <s v="New York City, New York"/>
    <s v="New York"/>
    <s v="autotrader.com"/>
    <s v="Google Ad Manager"/>
    <x v="1"/>
    <n v="19093"/>
    <n v="50"/>
    <n v="9626"/>
    <n v="17815"/>
    <n v="10"/>
    <n v="6612.1456900000003"/>
    <n v="2.6187608023883098E-3"/>
    <n v="0.2"/>
    <n v="661.21456899999998"/>
    <n v="346.31255905305613"/>
    <n v="0.54033118158854898"/>
    <n v="686.90480885102852"/>
  </r>
  <r>
    <s v="Online Behavior&gt;United States&gt;The Changing Consumer&gt;DIY"/>
    <x v="1"/>
    <x v="1"/>
    <s v="Grand Rapids-Kalamazoo, Michigan"/>
    <s v="Michigan"/>
    <s v="techradar.com"/>
    <s v="Google Ad Manager"/>
    <x v="1"/>
    <n v="12161"/>
    <n v="20"/>
    <n v="6284"/>
    <n v="10919"/>
    <n v="4"/>
    <n v="7273.2659880000001"/>
    <n v="1.6446015952635473E-3"/>
    <n v="0.2"/>
    <n v="1818.316497"/>
    <n v="598.08124233204512"/>
    <n v="0.57551057789174831"/>
    <n v="1157.4261597708467"/>
  </r>
  <r>
    <s v="US ¬ª Reach ¬ª Propensity Models ¬ª Real Estate ¬ª Monthly Mortgage Payment ¬ª $800-$999"/>
    <x v="0"/>
    <x v="2"/>
    <s v="Miami-Ft. Lauderdale, Florida"/>
    <s v="Florida"/>
    <s v="cbsnews.com"/>
    <s v="Index Exchange"/>
    <x v="2"/>
    <n v="13075"/>
    <n v="74"/>
    <n v="5980"/>
    <n v="12114"/>
    <n v="15"/>
    <n v="1936.1307979999999"/>
    <n v="5.659655831739962E-3"/>
    <n v="0.20270270270270271"/>
    <n v="129.07538653333333"/>
    <n v="148.07883732313576"/>
    <n v="0.49364371801221729"/>
    <n v="323.76769197324415"/>
  </r>
  <r>
    <s v="Online Behavior&gt;United States&gt;Beauty and Fitness&gt;Fitness ¬ª Fitness Instruction and Personal Training"/>
    <x v="0"/>
    <x v="2"/>
    <s v="Chicago, Illinois"/>
    <s v="Illinois"/>
    <s v="accuweather.com"/>
    <s v="Magnite DV+"/>
    <x v="2"/>
    <n v="23156"/>
    <n v="73"/>
    <n v="4468"/>
    <n v="18821"/>
    <n v="15"/>
    <n v="6173.4128899999996"/>
    <n v="3.1525306615995856E-3"/>
    <n v="0.20547945205479451"/>
    <n v="411.56085933333333"/>
    <n v="266.60100578683711"/>
    <n v="0.23739439987248287"/>
    <n v="1381.6949171888987"/>
  </r>
  <r>
    <s v="Travel and Tourism ¬ª Interest (Affinity) ¬ª Destinations ¬ª Latin America"/>
    <x v="1"/>
    <x v="3"/>
    <s v="Orlando-Daytona Beach, Florida"/>
    <s v="Florida"/>
    <s v="factable.com"/>
    <s v="Magnite DV+"/>
    <x v="1"/>
    <n v="31243"/>
    <n v="100"/>
    <n v="16326"/>
    <n v="25991"/>
    <n v="21"/>
    <n v="1452.5905600000001"/>
    <n v="3.2007169605991741E-3"/>
    <n v="0.21"/>
    <n v="69.170979047619056"/>
    <n v="46.49331242198253"/>
    <n v="0.62814051017659955"/>
    <n v="88.974063457062357"/>
  </r>
  <r>
    <s v="Online Behavior&gt;United States&gt;News&gt;Newspapers"/>
    <x v="1"/>
    <x v="3"/>
    <s v="New York City, New York"/>
    <s v="New York"/>
    <s v="calculator.net"/>
    <s v="PubMatic"/>
    <x v="1"/>
    <n v="37176"/>
    <n v="100"/>
    <n v="31829"/>
    <n v="35639"/>
    <n v="21"/>
    <n v="6753.5952420000003"/>
    <n v="2.6899074671831291E-3"/>
    <n v="0.21"/>
    <n v="321.59977342857144"/>
    <n v="181.66546271788249"/>
    <n v="0.89309464350851597"/>
    <n v="212.18370800213643"/>
  </r>
  <r>
    <s v="Online Behavior&gt;United States&gt;Travel&gt;Car Rental and Taxi Services"/>
    <x v="2"/>
    <x v="0"/>
    <s v="Los Angeles, California"/>
    <s v="California"/>
    <s v="dictionary.com"/>
    <s v="PubMatic"/>
    <x v="1"/>
    <n v="10350"/>
    <n v="66"/>
    <n v="723"/>
    <n v="8720"/>
    <n v="14"/>
    <n v="6774.202636"/>
    <n v="6.3768115942028983E-3"/>
    <n v="0.21212121212121213"/>
    <n v="483.87161685714284"/>
    <n v="654.51233198067632"/>
    <n v="8.2912844036697242E-2"/>
    <n v="9369.5748769017973"/>
  </r>
  <r>
    <s v="Online Behavior&gt;United States&gt;Hobbies and Leisure&gt;Outdoors ¬ª Hiking and Camping"/>
    <x v="0"/>
    <x v="3"/>
    <s v="Chicago, Illinois"/>
    <s v="Illinois"/>
    <s v="ebay.com"/>
    <s v="Magnite DV+"/>
    <x v="2"/>
    <n v="27592"/>
    <n v="80"/>
    <n v="10901"/>
    <n v="24980"/>
    <n v="17"/>
    <n v="6809.3560219999999"/>
    <n v="2.8993911278631487E-3"/>
    <n v="0.21249999999999999"/>
    <n v="400.55035423529409"/>
    <n v="246.78733045810381"/>
    <n v="0.43638911128903124"/>
    <n v="624.65425392165855"/>
  </r>
  <r>
    <s v="Online Behavior&gt;United States&gt;Finance ¬ª Accounting and Auditing&gt;Tax Preparation and Planning"/>
    <x v="0"/>
    <x v="3"/>
    <s v="Chicago, Illinois"/>
    <s v="Illinois"/>
    <s v="pandora.com"/>
    <s v="Google Ad Manager"/>
    <x v="0"/>
    <n v="24962"/>
    <n v="75"/>
    <n v="18450"/>
    <n v="24128"/>
    <n v="16"/>
    <n v="6809.0560509999996"/>
    <n v="3.0045669417514622E-3"/>
    <n v="0.21333333333333335"/>
    <n v="425.56600318749997"/>
    <n v="272.77686287156479"/>
    <n v="0.76467175066312998"/>
    <n v="369.05452850948507"/>
  </r>
  <r>
    <s v="Online Behavior&gt;United States&gt;Law and Government&gt;Military"/>
    <x v="1"/>
    <x v="1"/>
    <s v="Grand Rapids-Kalamazoo, Michigan"/>
    <s v="Michigan"/>
    <s v="cars.com"/>
    <s v="Google Ad Manager"/>
    <x v="1"/>
    <n v="17582"/>
    <n v="56"/>
    <n v="9848"/>
    <n v="16558"/>
    <n v="12"/>
    <n v="6846.4479149999997"/>
    <n v="3.1850756455465818E-3"/>
    <n v="0.21428571428571427"/>
    <n v="570.53732624999998"/>
    <n v="389.40097343874413"/>
    <n v="0.59475782099287355"/>
    <n v="695.21201411454103"/>
  </r>
  <r>
    <s v="US ¬ª Interest Propensities ¬ª Activities and Interests ¬ª B2B Job Search"/>
    <x v="1"/>
    <x v="1"/>
    <s v="Memphis, Tennessee"/>
    <s v="Tennessee"/>
    <s v="mlb.com"/>
    <s v="BidSwitch"/>
    <x v="1"/>
    <n v="32714"/>
    <n v="69"/>
    <n v="3756"/>
    <n v="30764"/>
    <n v="15"/>
    <n v="1506.6243039999999"/>
    <n v="2.1091887265390964E-3"/>
    <n v="0.21739130434782608"/>
    <n v="100.44162026666666"/>
    <n v="46.054420248211777"/>
    <n v="0.12209075542842283"/>
    <n v="401.12468157614484"/>
  </r>
  <r>
    <s v="Lotame ¬ª Technology ¬ª Electronics &amp; Gadgets"/>
    <x v="0"/>
    <x v="3"/>
    <s v="Flint-Saginaw-Bay City, Michigan"/>
    <s v="Michigan"/>
    <s v="kbb.com"/>
    <s v="Google Ad Manager"/>
    <x v="2"/>
    <n v="16236"/>
    <n v="50"/>
    <n v="8669"/>
    <n v="15208"/>
    <n v="11"/>
    <n v="1639.8136959999999"/>
    <n v="3.0795762503079576E-3"/>
    <n v="0.22"/>
    <n v="149.07397236363636"/>
    <n v="100.99862626262626"/>
    <n v="0.57002893214097838"/>
    <n v="189.15834536855462"/>
  </r>
  <r>
    <s v="Online Behavior&gt;United States&gt;Home and Garden&gt;Homemaking and Interior Decor"/>
    <x v="0"/>
    <x v="3"/>
    <s v="Los Angeles, California"/>
    <s v="California"/>
    <s v="dailymail.co.uk/news"/>
    <s v="Google Ad Manager"/>
    <x v="1"/>
    <n v="7921"/>
    <n v="50"/>
    <n v="4727"/>
    <n v="6513"/>
    <n v="11"/>
    <n v="5379.00144"/>
    <n v="6.3123343012245932E-3"/>
    <n v="0.22"/>
    <n v="489.0001309090909"/>
    <n v="679.08110592096955"/>
    <n v="0.72577921080915098"/>
    <n v="1137.9313391157184"/>
  </r>
  <r>
    <s v="Online Behavior&gt;United States&gt;Home and Garden&gt;Bed and Bath"/>
    <x v="0"/>
    <x v="3"/>
    <s v="Los Angeles, California"/>
    <s v="California"/>
    <s v="streetinsider.com"/>
    <s v="Google Ad Manager"/>
    <x v="2"/>
    <n v="28888"/>
    <n v="85"/>
    <n v="21437"/>
    <n v="27586"/>
    <n v="19"/>
    <n v="6858.5781180000004"/>
    <n v="2.9423982276377734E-3"/>
    <n v="0.22352941176470589"/>
    <n v="360.97779568421055"/>
    <n v="237.41962468845196"/>
    <n v="0.77709707822808671"/>
    <n v="319.94113532677153"/>
  </r>
  <r>
    <s v="US ¬ª Brand Propensities ¬ª Telecom and Service Providers ¬ª Page Plus Cellular Buyer Propensity"/>
    <x v="1"/>
    <x v="1"/>
    <s v="Ft. Wayne, Indiana"/>
    <s v="Indiana"/>
    <s v="merriam-webster.com"/>
    <s v="Yieldmo"/>
    <x v="1"/>
    <n v="12148"/>
    <n v="40"/>
    <n v="7950"/>
    <n v="11360"/>
    <n v="9"/>
    <n v="1936.008049"/>
    <n v="3.2927230819888046E-3"/>
    <n v="0.22500000000000001"/>
    <n v="215.11200544444443"/>
    <n v="159.36845974646033"/>
    <n v="0.69982394366197187"/>
    <n v="243.52302503144656"/>
  </r>
  <r>
    <s v="Online Behavior&gt;United States&gt;Finance ¬ª Banking&gt;Debit and Checking Services"/>
    <x v="0"/>
    <x v="0"/>
    <s v="Chicago, Illinois"/>
    <s v="Illinois"/>
    <s v="thegamer.com"/>
    <s v="BidSwitch"/>
    <x v="1"/>
    <n v="8362"/>
    <n v="31"/>
    <n v="5959"/>
    <n v="7947"/>
    <n v="7"/>
    <n v="6997.4689630000003"/>
    <n v="3.7072470700789287E-3"/>
    <n v="0.22580645161290322"/>
    <n v="999.63842328571434"/>
    <n v="836.81762293709642"/>
    <n v="0.74984270794010321"/>
    <n v="1174.2689986574931"/>
  </r>
  <r>
    <s v="Online Behavior&gt;United States&gt;Autos and Vehicles ¬ª Brands&gt;Lexus"/>
    <x v="0"/>
    <x v="0"/>
    <s v="Chicago, Illinois"/>
    <s v="Illinois"/>
    <s v="sportpirate.com"/>
    <s v="Index Exchange"/>
    <x v="0"/>
    <n v="17075"/>
    <n v="44"/>
    <n v="5508"/>
    <n v="11539"/>
    <n v="10"/>
    <n v="5086.0899600000002"/>
    <n v="2.5768667642752561E-3"/>
    <n v="0.22727272727272727"/>
    <n v="508.60899600000005"/>
    <n v="297.8676404099561"/>
    <n v="0.47733772423953547"/>
    <n v="923.40050108932462"/>
  </r>
  <r>
    <s v="Online Behavior&gt;United States&gt;Validated Demographic ¬ª Age&gt;65 or older"/>
    <x v="1"/>
    <x v="3"/>
    <s v="Nashville, Tennessee"/>
    <s v="Tennessee"/>
    <s v="tripadvisor.com"/>
    <s v="Yieldmo"/>
    <x v="1"/>
    <n v="10386"/>
    <n v="65"/>
    <n v="5876"/>
    <n v="10048"/>
    <n v="15"/>
    <n v="4439.8380639999996"/>
    <n v="6.25842480261891E-3"/>
    <n v="0.23076923076923078"/>
    <n v="295.98920426666666"/>
    <n v="427.4829639899865"/>
    <n v="0.58479299363057324"/>
    <n v="755.5885064669842"/>
  </r>
  <r>
    <s v="Online Behavior&gt;United States&gt;News&gt;Politics"/>
    <x v="1"/>
    <x v="1"/>
    <s v="New York City, New York"/>
    <s v="New York"/>
    <s v="thesaurus.com"/>
    <s v="Google Ad Manager"/>
    <x v="1"/>
    <n v="55445"/>
    <n v="155"/>
    <n v="4565"/>
    <n v="53407"/>
    <n v="36"/>
    <n v="7948.4807520000004"/>
    <n v="2.7955631707097125E-3"/>
    <n v="0.23225806451612904"/>
    <n v="220.791132"/>
    <n v="143.35793582829831"/>
    <n v="8.5475686707734935E-2"/>
    <n v="1741.1786970427163"/>
  </r>
  <r>
    <s v="Online Behavior&gt;United States&gt;Hobbies and Leisure&gt;Special Occasions ¬ª Party Planning"/>
    <x v="0"/>
    <x v="3"/>
    <s v="San Francisco, California"/>
    <s v="California"/>
    <s v="mayoclinic.org"/>
    <s v="Index Exchange"/>
    <x v="1"/>
    <n v="14398"/>
    <n v="30"/>
    <n v="2807"/>
    <n v="13393"/>
    <n v="7"/>
    <n v="5154.6445549999999"/>
    <n v="2.0836227253785249E-3"/>
    <n v="0.23333333333333334"/>
    <n v="736.37779357142858"/>
    <n v="358.01115120155578"/>
    <n v="0.20958709773762413"/>
    <n v="1836.3535999287494"/>
  </r>
  <r>
    <s v="Online Behavior&gt;United States&gt;Beauty and Fitness&gt;Fitness ¬ª Home Exercise"/>
    <x v="0"/>
    <x v="3"/>
    <s v="Orlando-Daytona Beach, Florida"/>
    <s v="Florida"/>
    <s v="nbcnews.com"/>
    <s v="Yahoo Exchange"/>
    <x v="1"/>
    <n v="14224"/>
    <n v="30"/>
    <n v="2549"/>
    <n v="11974"/>
    <n v="7"/>
    <n v="5637.3034969999999"/>
    <n v="2.1091113610798651E-3"/>
    <n v="0.23333333333333334"/>
    <n v="805.329071"/>
    <n v="396.3233617125984"/>
    <n v="0.21287790212126273"/>
    <n v="2211.5745378579832"/>
  </r>
  <r>
    <s v="Online Behavior&gt;United States&gt;Internet and Telecom&gt;Email and Messaging"/>
    <x v="1"/>
    <x v="0"/>
    <s v="Miami-Ft. Lauderdale, Florida"/>
    <s v="Florida"/>
    <s v="dexerto.com"/>
    <s v="OpenX"/>
    <x v="1"/>
    <n v="14553"/>
    <n v="47"/>
    <n v="6119"/>
    <n v="12505"/>
    <n v="11"/>
    <n v="6968.00047"/>
    <n v="3.2295746581460869E-3"/>
    <n v="0.23404255319148937"/>
    <n v="633.45458818181817"/>
    <n v="478.80165395451104"/>
    <n v="0.48932427029188325"/>
    <n v="1138.7482382742278"/>
  </r>
  <r>
    <s v="Online Behavior&gt;United States&gt;Intent ¬ª Shopping&gt;Consumer Electronics ¬ª Tablets"/>
    <x v="1"/>
    <x v="0"/>
    <s v="Nashville, Tennessee"/>
    <s v="Tennessee"/>
    <s v="finviz.com"/>
    <s v="Google Ad Manager"/>
    <x v="1"/>
    <n v="9533"/>
    <n v="66"/>
    <n v="6548"/>
    <n v="9042"/>
    <n v="16"/>
    <n v="5574.5435049999996"/>
    <n v="6.9233189971677333E-3"/>
    <n v="0.24242424242424243"/>
    <n v="348.40896906249998"/>
    <n v="584.76277195006821"/>
    <n v="0.72417606724176065"/>
    <n v="851.33529398289556"/>
  </r>
  <r>
    <s v="US ¬ª Multibuyer Behaviors ¬ª Paid with Credit Card"/>
    <x v="0"/>
    <x v="0"/>
    <s v="New York City, New York"/>
    <s v="New York"/>
    <s v="baseball.fantasysports.yahoo.com"/>
    <s v="BidSwitch"/>
    <x v="2"/>
    <n v="12770"/>
    <n v="84"/>
    <n v="6224"/>
    <n v="11110"/>
    <n v="21"/>
    <n v="2087.5098269999999"/>
    <n v="6.5779169929522322E-3"/>
    <n v="0.25"/>
    <n v="99.405229857142857"/>
    <n v="163.46983766640562"/>
    <n v="0.56021602160216022"/>
    <n v="335.39682310411308"/>
  </r>
  <r>
    <s v="Online Behavior&gt;United States&gt;Sports&gt;Sporting Goods"/>
    <x v="1"/>
    <x v="2"/>
    <s v="Nashville, Tennessee"/>
    <s v="Tennessee"/>
    <s v="calculator.net"/>
    <s v="Google Ad Manager"/>
    <x v="1"/>
    <n v="18633"/>
    <n v="60"/>
    <n v="9424"/>
    <n v="18087"/>
    <n v="15"/>
    <n v="6785.0632930000002"/>
    <n v="3.2200933827080985E-3"/>
    <n v="0.25"/>
    <n v="452.33755286666667"/>
    <n v="364.14229018408201"/>
    <n v="0.52103720904517059"/>
    <n v="719.97700477504247"/>
  </r>
  <r>
    <s v="Online Behavior&gt;United States&gt;Hobbies and Leisure&gt;Outdoors ¬ª Fishing"/>
    <x v="0"/>
    <x v="1"/>
    <s v="New York City, New York"/>
    <s v="New York"/>
    <s v="mlb.com"/>
    <s v="PubMatic"/>
    <x v="0"/>
    <n v="25206"/>
    <n v="75"/>
    <n v="3588"/>
    <n v="23556"/>
    <n v="19"/>
    <n v="6846.3564340000003"/>
    <n v="2.9754820280885504E-3"/>
    <n v="0.25333333333333335"/>
    <n v="360.33454915789474"/>
    <n v="271.61614036340558"/>
    <n v="0.15231788079470199"/>
    <n v="1908.1260964325531"/>
  </r>
  <r>
    <s v="OnAudience ¬ª Intent ¬ª Electronics ¬ª Video ¬ª Televisions"/>
    <x v="1"/>
    <x v="3"/>
    <s v="Los Angeles, California"/>
    <s v="California"/>
    <s v="accuweather.com"/>
    <s v="OpenX"/>
    <x v="1"/>
    <n v="19826"/>
    <n v="39"/>
    <n v="6511"/>
    <n v="15752"/>
    <n v="10"/>
    <n v="1447.873298"/>
    <n v="1.9671138908503986E-3"/>
    <n v="0.25641025641025639"/>
    <n v="144.78732980000001"/>
    <n v="73.029017350953296"/>
    <n v="0.4133443372270188"/>
    <n v="222.37341391491321"/>
  </r>
  <r>
    <s v="US ¬ª Reach ¬ª Sociodemographic ¬ª Household Income ¬ª $50,000-$74,999"/>
    <x v="1"/>
    <x v="2"/>
    <s v="South Bend-Elkhart, Indiana"/>
    <s v="Indiana"/>
    <s v="zillow.com"/>
    <s v="PubMatic"/>
    <x v="1"/>
    <n v="14181"/>
    <n v="65"/>
    <n v="7106"/>
    <n v="13189"/>
    <n v="17"/>
    <n v="2912.4671560000002"/>
    <n v="4.5835977716663142E-3"/>
    <n v="0.26153846153846155"/>
    <n v="171.32159741176471"/>
    <n v="205.37812255835274"/>
    <n v="0.53878231859883241"/>
    <n v="409.86028088938923"/>
  </r>
  <r>
    <s v="Online Behavior&gt;United States&gt;Sports&gt;Individual Sports ¬ª Bowling"/>
    <x v="0"/>
    <x v="1"/>
    <s v="Grand Rapids-Kalamazoo, Michigan"/>
    <s v="Michigan"/>
    <s v="mail.aol.com"/>
    <s v="Smart RTB+ (Smartadserver)"/>
    <x v="0"/>
    <n v="30460"/>
    <n v="95"/>
    <n v="21830"/>
    <n v="27750"/>
    <n v="25"/>
    <n v="6643.9665420000001"/>
    <n v="3.1188443860801049E-3"/>
    <n v="0.26315789473684209"/>
    <n v="265.75866167999999"/>
    <n v="218.12102895600788"/>
    <n v="0.78666666666666663"/>
    <n v="304.3502767750802"/>
  </r>
  <r>
    <s v="Online Behavior&gt;United States&gt;Arts and Entertainment&gt;Music and Audio"/>
    <x v="0"/>
    <x v="1"/>
    <s v="Jacksonville, Florida"/>
    <s v="Florida"/>
    <s v="chicagotribune.com"/>
    <s v="Google Ad Manager"/>
    <x v="1"/>
    <n v="7628"/>
    <n v="19"/>
    <n v="5048"/>
    <n v="7154"/>
    <n v="5"/>
    <n v="6684.0628040000001"/>
    <n v="2.4908232826428944E-3"/>
    <n v="0.26315789473684209"/>
    <n v="1336.8125608"/>
    <n v="876.25364499213424"/>
    <n v="0.70561923399496784"/>
    <n v="1324.1011893819336"/>
  </r>
  <r>
    <s v="Online Behavior&gt;United States&gt;Intent ¬ª Auto Buyers ¬ª Car Make&gt;BMW"/>
    <x v="0"/>
    <x v="1"/>
    <s v="West Palm Beach-Ft. Pierce, Florida"/>
    <s v="Florida"/>
    <s v="firstcoastnews.com"/>
    <s v="BidSwitch"/>
    <x v="1"/>
    <n v="12092"/>
    <n v="30"/>
    <n v="2042"/>
    <n v="10315"/>
    <n v="8"/>
    <n v="6245.1347930000002"/>
    <n v="2.4809791597750577E-3"/>
    <n v="0.26666666666666666"/>
    <n v="780.64184912500002"/>
    <n v="516.46830904730405"/>
    <n v="0.1979641299079011"/>
    <n v="3058.3422100881489"/>
  </r>
  <r>
    <s v="Media and Entertainment ¬ª Television (TV) ¬ª Viewership ¬ª TV Genres ¬ª Drama"/>
    <x v="0"/>
    <x v="1"/>
    <s v="Orlando-Daytona Beach, Florida"/>
    <s v="Florida"/>
    <s v="semana.com"/>
    <s v="OpenX"/>
    <x v="0"/>
    <n v="16325"/>
    <n v="78"/>
    <n v="9558"/>
    <n v="15426"/>
    <n v="21"/>
    <n v="1814.098581"/>
    <n v="4.7779479326186831E-3"/>
    <n v="0.26923076923076922"/>
    <n v="86.385646714285713"/>
    <n v="111.12395595712098"/>
    <n v="0.61960326721120185"/>
    <n v="189.79897269303203"/>
  </r>
  <r>
    <s v="Mobile - US ¬ª Food ¬ª Restaurant ¬ª Style ¬ª Desserts"/>
    <x v="0"/>
    <x v="1"/>
    <s v="New York City, New York"/>
    <s v="New York"/>
    <s v="dictionary.com"/>
    <s v="BidSwitch"/>
    <x v="2"/>
    <n v="18028"/>
    <n v="89"/>
    <n v="1851"/>
    <n v="14926"/>
    <n v="24"/>
    <n v="1572.24171"/>
    <n v="4.9367650321721765E-3"/>
    <n v="0.2696629213483146"/>
    <n v="65.510071249999996"/>
    <n v="87.21109995562459"/>
    <n v="0.1240117915047568"/>
    <n v="849.40124797406804"/>
  </r>
  <r>
    <s v="Online Behavior&gt;United States&gt;Intent ¬ª Auto Buyers ¬ª Type&gt;Luxury"/>
    <x v="1"/>
    <x v="2"/>
    <s v="Los Angeles, California"/>
    <s v="California"/>
    <s v="al.com"/>
    <s v="PubMatic"/>
    <x v="1"/>
    <n v="14489"/>
    <n v="37"/>
    <n v="12453"/>
    <n v="13873"/>
    <n v="10"/>
    <n v="6195.8407340000003"/>
    <n v="2.5536613983021604E-3"/>
    <n v="0.27027027027027029"/>
    <n v="619.58407340000008"/>
    <n v="427.6237652011871"/>
    <n v="0.89764290348158293"/>
    <n v="497.53800160603873"/>
  </r>
  <r>
    <s v="Telecommunications (Telco) ¬ª Subscribers"/>
    <x v="1"/>
    <x v="1"/>
    <s v="Tallahassee, Florida-Thomasville, Georgia"/>
    <s v="Florida-Thomasville, Georgia"/>
    <s v="dailydot.com"/>
    <s v="Google Ad Manager"/>
    <x v="1"/>
    <n v="29393"/>
    <n v="70"/>
    <n v="3277"/>
    <n v="25959"/>
    <n v="19"/>
    <n v="2120.7576979999999"/>
    <n v="2.3815194093831865E-3"/>
    <n v="0.27142857142857141"/>
    <n v="111.61882621052631"/>
    <n v="72.151794576940077"/>
    <n v="0.12623752841018529"/>
    <n v="647.16438754958801"/>
  </r>
  <r>
    <s v="Online Behavior&gt;United States&gt;Sports&gt;Team Sports ¬ª Baseball"/>
    <x v="1"/>
    <x v="2"/>
    <s v="New York City, New York"/>
    <s v="New York"/>
    <s v="rollingstone.com"/>
    <s v="Smart RTB+ (Smartadserver)"/>
    <x v="1"/>
    <n v="19334"/>
    <n v="40"/>
    <n v="8673"/>
    <n v="18578"/>
    <n v="11"/>
    <n v="7292.1350590000002"/>
    <n v="2.0688941760628942E-3"/>
    <n v="0.27500000000000002"/>
    <n v="662.92136900000003"/>
    <n v="377.16639386572876"/>
    <n v="0.46684250188394877"/>
    <n v="840.78577873861411"/>
  </r>
  <r>
    <s v="Online Behavior&gt;United States&gt;Autos and Vehicles ¬ª Brands&gt;Mazda"/>
    <x v="1"/>
    <x v="0"/>
    <s v="New York City, New York"/>
    <s v="New York"/>
    <s v="cbsnews.com"/>
    <s v="TripleLift"/>
    <x v="1"/>
    <n v="134847"/>
    <n v="450"/>
    <n v="104268"/>
    <n v="128470"/>
    <n v="125"/>
    <n v="6040.5955780000004"/>
    <n v="3.337115397450444E-3"/>
    <n v="0.27777777777777779"/>
    <n v="48.324764624000004"/>
    <n v="44.795921140255253"/>
    <n v="0.81161360628940604"/>
    <n v="57.933359976215144"/>
  </r>
  <r>
    <s v="Online Behavior&gt;United States&gt;Beauty and Fitness&gt;Body Art"/>
    <x v="1"/>
    <x v="3"/>
    <s v="Nashville, Tennessee"/>
    <s v="Tennessee"/>
    <s v="finance.yahoo.com"/>
    <s v="Google Ad Manager"/>
    <x v="1"/>
    <n v="22690"/>
    <n v="68"/>
    <n v="10212"/>
    <n v="19934"/>
    <n v="19"/>
    <n v="7210.686506"/>
    <n v="2.996914940502424E-3"/>
    <n v="0.27941176470588236"/>
    <n v="379.50981610526316"/>
    <n v="317.7913841339797"/>
    <n v="0.51229055884418584"/>
    <n v="706.0993444966706"/>
  </r>
  <r>
    <s v="US ¬ª B2B ¬ª B2B Decision Maker Responsibilities ¬ª Advertising Services"/>
    <x v="1"/>
    <x v="2"/>
    <s v="Grand Rapids-Kalamazoo, Michigan"/>
    <s v="Michigan"/>
    <s v="dmv.org"/>
    <s v="BidSwitch"/>
    <x v="1"/>
    <n v="14917"/>
    <n v="10"/>
    <n v="3065"/>
    <n v="13109"/>
    <n v="3"/>
    <n v="1583.537104"/>
    <n v="6.7037608098143063E-4"/>
    <n v="0.3"/>
    <n v="527.8457013333333"/>
    <n v="106.1565397868204"/>
    <n v="0.2338088336257533"/>
    <n v="516.65158368678635"/>
  </r>
  <r>
    <s v="Online Behavior&gt;United States&gt;Autos and Vehicles ¬ª Brands&gt;Isuzu"/>
    <x v="0"/>
    <x v="3"/>
    <s v="Chicago, Illinois"/>
    <s v="Illinois"/>
    <s v="realtor.com"/>
    <s v="Index Exchange"/>
    <x v="0"/>
    <n v="16978"/>
    <n v="30"/>
    <n v="8367"/>
    <n v="15731"/>
    <n v="9"/>
    <n v="5886.0711460000002"/>
    <n v="1.7669925786311697E-3"/>
    <n v="0.3"/>
    <n v="654.00790511111109"/>
    <n v="346.68813440923549"/>
    <n v="0.53187972792575167"/>
    <n v="703.4864522528984"/>
  </r>
  <r>
    <s v="Online Behavior&gt;United States&gt;Sports&gt;Team Sports ¬ª Volleyball"/>
    <x v="0"/>
    <x v="0"/>
    <s v="Nashville, Tennessee"/>
    <s v="Tennessee"/>
    <s v="buzzfeed.com"/>
    <s v="Yieldmo"/>
    <x v="2"/>
    <n v="10066"/>
    <n v="63"/>
    <n v="6978"/>
    <n v="9369"/>
    <n v="19"/>
    <n v="6879.5870969999996"/>
    <n v="6.2586926286509036E-3"/>
    <n v="0.30158730158730157"/>
    <n v="362.08353142105261"/>
    <n v="683.44795320882167"/>
    <n v="0.74479666986871595"/>
    <n v="985.89668916595019"/>
  </r>
  <r>
    <s v="OnAudience ¬ª Interest ¬ª Arts &amp; Entertainment ¬ª Television"/>
    <x v="0"/>
    <x v="3"/>
    <s v="Augusta, Georgia"/>
    <s v="Georgia"/>
    <s v="forbes.com"/>
    <s v="Google Ad Manager"/>
    <x v="0"/>
    <n v="22800"/>
    <n v="79"/>
    <n v="8298"/>
    <n v="21161"/>
    <n v="24"/>
    <n v="1620.1655000000001"/>
    <n v="3.4649122807017545E-3"/>
    <n v="0.30379746835443039"/>
    <n v="67.506895833333331"/>
    <n v="71.059890350877197"/>
    <n v="0.39213647748216057"/>
    <n v="195.24771029163654"/>
  </r>
  <r>
    <s v="US ¬ª Reach ¬ª Propensity Models ¬ª Hobbies and Interest ¬ª Food and Drinks ¬ª High-end Spirit Drinkers"/>
    <x v="1"/>
    <x v="1"/>
    <s v="Chicago, Illinois"/>
    <s v="Illinois"/>
    <s v="cbssports.com"/>
    <s v="OpenX"/>
    <x v="1"/>
    <n v="20548"/>
    <n v="40"/>
    <n v="14259"/>
    <n v="19654"/>
    <n v="13"/>
    <n v="3060.4247690000002"/>
    <n v="1.9466614755693985E-3"/>
    <n v="0.32500000000000001"/>
    <n v="235.41728992307694"/>
    <n v="148.94027491726692"/>
    <n v="0.72550117024524274"/>
    <n v="214.63109397573464"/>
  </r>
  <r>
    <s v="Online Behavior&gt;United States&gt;Life Event&gt;Job Search"/>
    <x v="1"/>
    <x v="3"/>
    <s v="New York City, New York"/>
    <s v="New York"/>
    <s v="thesaurus.com"/>
    <s v="Google Ad Manager"/>
    <x v="1"/>
    <n v="18081"/>
    <n v="44"/>
    <n v="4545"/>
    <n v="15617"/>
    <n v="15"/>
    <n v="6522.6375260000004"/>
    <n v="2.4334937226923288E-3"/>
    <n v="0.34090909090909088"/>
    <n v="434.84250173333334"/>
    <n v="360.74539715723694"/>
    <n v="0.29102900685150795"/>
    <n v="1435.1237680968097"/>
  </r>
  <r>
    <s v="Media and Entertainment ¬ª Sports and Recreational Activities ¬ª Interest (Affinity) ¬ª Olympics"/>
    <x v="0"/>
    <x v="0"/>
    <s v="Panama City, Florida"/>
    <s v="Florida"/>
    <s v="nba.com"/>
    <s v="Google Ad Manager"/>
    <x v="1"/>
    <n v="10883"/>
    <n v="46"/>
    <n v="1652"/>
    <n v="8869"/>
    <n v="16"/>
    <n v="1942.482395"/>
    <n v="4.2267757052283379E-3"/>
    <n v="0.34782608695652173"/>
    <n v="121.4051496875"/>
    <n v="178.48776945695121"/>
    <n v="0.18626677190213101"/>
    <n v="1175.8368008474577"/>
  </r>
  <r>
    <s v="US ¬ª AUTO ¬ª Auto Car Purchase Next Year ¬ª Yes"/>
    <x v="1"/>
    <x v="0"/>
    <s v="Grand Rapids-Kalamazoo, Michigan"/>
    <s v="Michigan"/>
    <s v="whatismyipaddress.com"/>
    <s v="Index Exchange"/>
    <x v="1"/>
    <n v="31359"/>
    <n v="66"/>
    <n v="18348"/>
    <n v="25950"/>
    <n v="24"/>
    <n v="1623.614838"/>
    <n v="2.1046589495838514E-3"/>
    <n v="0.36363636363636365"/>
    <n v="67.650618249999994"/>
    <n v="51.775083325361138"/>
    <n v="0.70705202312138726"/>
    <n v="88.490017331589272"/>
  </r>
  <r>
    <s v="Lotame ¬ª Travel ¬ª Summer Travel"/>
    <x v="0"/>
    <x v="2"/>
    <s v="Tampa-St Petersburg (Sarasota), Florida"/>
    <s v="Florida"/>
    <s v="ajc.com"/>
    <s v="Google Ad Manager"/>
    <x v="2"/>
    <n v="16719"/>
    <n v="35"/>
    <n v="9944"/>
    <n v="15714"/>
    <n v="13"/>
    <n v="1588.6475"/>
    <n v="2.0934266403493033E-3"/>
    <n v="0.37142857142857144"/>
    <n v="122.20365384615386"/>
    <n v="95.020485674980563"/>
    <n v="0.63281150566373934"/>
    <n v="159.75940265486724"/>
  </r>
  <r>
    <s v="Mobile - US ¬ª Device Ownership ¬ª Tablets ¬ª yes"/>
    <x v="0"/>
    <x v="2"/>
    <s v="Knoxville, Tennessee"/>
    <s v="Tennessee"/>
    <s v="medicalnewstoday.com"/>
    <s v="BidSwitch"/>
    <x v="2"/>
    <n v="17645"/>
    <n v="40"/>
    <n v="9673"/>
    <n v="15088"/>
    <n v="15"/>
    <n v="1591.772246"/>
    <n v="2.2669311419665629E-3"/>
    <n v="0.375"/>
    <n v="106.11814973333334"/>
    <n v="90.210951884386517"/>
    <n v="0.6411055143160127"/>
    <n v="164.55828036803473"/>
  </r>
  <r>
    <s v="Online Behavior&gt;United States&gt;Finance ¬ª Insurance&gt;Life Insurance"/>
    <x v="1"/>
    <x v="0"/>
    <s v="Los Angeles, California"/>
    <s v="California"/>
    <s v="drugs.com"/>
    <s v="Magnite DV+"/>
    <x v="1"/>
    <n v="18401"/>
    <n v="66"/>
    <n v="11051"/>
    <n v="17202"/>
    <n v="26"/>
    <n v="6571.4915520000004"/>
    <n v="3.5867615890440739E-3"/>
    <n v="0.39393939393939392"/>
    <n v="252.7496750769231"/>
    <n v="357.12687093092768"/>
    <n v="0.64242529938379256"/>
    <n v="594.65130323047686"/>
  </r>
  <r>
    <s v="US Interest ¬ª Consumer Electronics"/>
    <x v="1"/>
    <x v="2"/>
    <s v="New York City, New York"/>
    <s v="New York"/>
    <s v="forbes.com"/>
    <s v="Google Ad Manager"/>
    <x v="1"/>
    <n v="15441"/>
    <n v="48"/>
    <n v="7626"/>
    <n v="14456"/>
    <n v="19"/>
    <n v="1614.309013"/>
    <n v="3.1086069555080632E-3"/>
    <n v="0.39583333333333331"/>
    <n v="84.963632263157891"/>
    <n v="104.54692137814908"/>
    <n v="0.52753182069728832"/>
    <n v="211.68489548911617"/>
  </r>
  <r>
    <s v="Online Behavior&gt;United States&gt;Beauty and Fitness&gt;Fashion and Style ¬ª Fashion Designers and Collections"/>
    <x v="0"/>
    <x v="2"/>
    <s v="Miami-Ft. Lauderdale, Florida"/>
    <s v="Florida"/>
    <s v="mail.yahoo.com"/>
    <s v="Google Ad Manager"/>
    <x v="1"/>
    <n v="23774"/>
    <n v="60"/>
    <n v="10735"/>
    <n v="21076"/>
    <n v="24"/>
    <n v="7657.1080339999999"/>
    <n v="2.5237654580634308E-3"/>
    <n v="0.4"/>
    <n v="319.04616808333333"/>
    <n v="322.07907941448639"/>
    <n v="0.50934712469159238"/>
    <n v="713.28440000000001"/>
  </r>
  <r>
    <s v="Online Behavior&gt;United States&gt;Autos and Vehicles ¬ª Brands&gt;Citroen"/>
    <x v="1"/>
    <x v="1"/>
    <s v="Little Rock-Pine Bluff, Arkansas"/>
    <s v="Arkansas"/>
    <s v="reuters.com"/>
    <s v="Magnite DV+"/>
    <x v="1"/>
    <n v="9319"/>
    <n v="30"/>
    <n v="6193"/>
    <n v="8682"/>
    <n v="12"/>
    <n v="4594.6040030000004"/>
    <n v="3.2192295310655649E-3"/>
    <n v="0.4"/>
    <n v="382.8836669166667"/>
    <n v="493.03616300032189"/>
    <n v="0.71331490439990786"/>
    <n v="741.90279396092376"/>
  </r>
  <r>
    <s v="Online Behavior&gt;United States&gt;Law and Government&gt;Legal"/>
    <x v="1"/>
    <x v="3"/>
    <s v="Chicago, Illinois"/>
    <s v="Illinois"/>
    <s v="washingtonpost.com"/>
    <s v="Xandr - Monetize SSP (AppNexus)"/>
    <x v="1"/>
    <n v="9867"/>
    <n v="30"/>
    <n v="6867"/>
    <n v="9347"/>
    <n v="12"/>
    <n v="6839.5690860000004"/>
    <n v="3.0404378230465185E-3"/>
    <n v="0.4"/>
    <n v="569.9640905"/>
    <n v="693.17615141380361"/>
    <n v="0.73467422702471386"/>
    <n v="996.00540061162076"/>
  </r>
  <r>
    <s v="Online Behavior&gt;United States&gt;Sports&gt;Sports League ¬ª Premier League"/>
    <x v="0"/>
    <x v="1"/>
    <s v="Chicago, Illinois"/>
    <s v="Illinois"/>
    <s v="cnet.com"/>
    <s v="BidSwitch"/>
    <x v="1"/>
    <n v="8217"/>
    <n v="25"/>
    <n v="5740"/>
    <n v="8009"/>
    <n v="11"/>
    <n v="6051.3346229999997"/>
    <n v="3.0424729219909945E-3"/>
    <n v="0.44"/>
    <n v="550.12132936363639"/>
    <n v="736.4408692953632"/>
    <n v="0.71669371956548877"/>
    <n v="1054.2394813588849"/>
  </r>
  <r>
    <s v="Mobile - US ¬ª Travel ¬ª Vacation Rentals ¬ª HomeAway"/>
    <x v="1"/>
    <x v="1"/>
    <s v="Chattanooga, Tennessee"/>
    <s v="Tennessee"/>
    <s v="foxnews.com"/>
    <s v="Google Ad Manager"/>
    <x v="1"/>
    <n v="91593"/>
    <n v="40"/>
    <n v="51004"/>
    <n v="82985"/>
    <n v="18"/>
    <n v="1731.5848619999999"/>
    <n v="4.3671459609358795E-4"/>
    <n v="0.45"/>
    <n v="96.199158999999995"/>
    <n v="18.905209590252529"/>
    <n v="0.61461709947580889"/>
    <n v="33.949981609285544"/>
  </r>
  <r>
    <s v="Online Behavior&gt;United States&gt;Beauty and Fitness&gt;Fashion and Style"/>
    <x v="1"/>
    <x v="3"/>
    <s v="Miami-Ft. Lauderdale, Florida"/>
    <s v="Florida"/>
    <s v="miamiherald.com"/>
    <s v="Xandr - Monetize SSP (AppNexus)"/>
    <x v="1"/>
    <n v="7320"/>
    <n v="33"/>
    <n v="4020"/>
    <n v="6692"/>
    <n v="15"/>
    <n v="1730.37357"/>
    <n v="4.5081967213114757E-3"/>
    <n v="0.45454545454545453"/>
    <n v="115.358238"/>
    <n v="236.3898319672131"/>
    <n v="0.60071727435744171"/>
    <n v="430.44118656716421"/>
  </r>
  <r>
    <s v="Online Behavior&gt;United States&gt;Intent ¬ª Auto Buyers ¬ª Car Make&gt;Toyota"/>
    <x v="1"/>
    <x v="2"/>
    <s v="Los Angeles, California"/>
    <s v="California"/>
    <s v="cnn.com"/>
    <s v="PubMatic"/>
    <x v="1"/>
    <n v="9060"/>
    <n v="30"/>
    <n v="5190"/>
    <n v="8621"/>
    <n v="14"/>
    <n v="4934.8515630000002"/>
    <n v="3.3112582781456954E-3"/>
    <n v="0.46666666666666667"/>
    <n v="352.48939735714288"/>
    <n v="544.68560298013244"/>
    <n v="0.60201832734021576"/>
    <n v="950.83845144508678"/>
  </r>
  <r>
    <s v="US Interest ¬ª Home ¬ª Home Improvement ¬ª Home Improvement Grouping"/>
    <x v="1"/>
    <x v="0"/>
    <s v="Chicago, Illinois"/>
    <s v="Illinois"/>
    <s v="cbsnews.com"/>
    <s v="Google Ad Manager"/>
    <x v="1"/>
    <n v="21478"/>
    <n v="50"/>
    <n v="15548"/>
    <n v="20651"/>
    <n v="24"/>
    <n v="1541.2140469999999"/>
    <n v="2.3279634975323588E-3"/>
    <n v="0.48"/>
    <n v="64.217251958333335"/>
    <n v="71.757800866002412"/>
    <n v="0.7528933223572708"/>
    <n v="99.126192886544899"/>
  </r>
  <r>
    <s v="Online Behavior&gt;United States&gt;Beauty and Fitness&gt;Fashion and Style ¬ª Fashion Modeling"/>
    <x v="1"/>
    <x v="2"/>
    <s v="Chicago, Illinois"/>
    <s v="Illinois"/>
    <s v="forbes.com"/>
    <s v="Google Ad Manager"/>
    <x v="1"/>
    <n v="18095"/>
    <n v="50"/>
    <n v="10021"/>
    <n v="16755"/>
    <n v="24"/>
    <n v="6768.7587679999997"/>
    <n v="2.7631942525559545E-3"/>
    <n v="0.48"/>
    <n v="282.03161533333332"/>
    <n v="374.06790649350648"/>
    <n v="0.5980901223515368"/>
    <n v="675.4574162259255"/>
  </r>
  <r>
    <s v="US Interest ¬ª Cooking ¬ª General"/>
    <x v="1"/>
    <x v="2"/>
    <s v="Chicago, Illinois"/>
    <s v="Illinois"/>
    <s v="ew.com"/>
    <s v="Xandr - Monetize SSP (AppNexus)"/>
    <x v="1"/>
    <n v="9920"/>
    <n v="20"/>
    <n v="6702"/>
    <n v="9096"/>
    <n v="10"/>
    <n v="1453.11439"/>
    <n v="2.0161290322580645E-3"/>
    <n v="0.5"/>
    <n v="145.31143900000001"/>
    <n v="146.48330544354837"/>
    <n v="0.73680738786279687"/>
    <n v="216.81802297821545"/>
  </r>
  <r>
    <s v="Online Behavior&gt;United States&gt;Beauty and Fitness&gt;Cosmetology and Beauty Professionals"/>
    <x v="1"/>
    <x v="0"/>
    <s v="New York City, New York"/>
    <s v="New York"/>
    <s v="dotesports.com"/>
    <s v="Xandr - Monetize SSP (AppNexus)"/>
    <x v="1"/>
    <n v="18022"/>
    <n v="30"/>
    <n v="10618"/>
    <n v="16643"/>
    <n v="15"/>
    <n v="4051.1587490000002"/>
    <n v="1.6646321163022971E-3"/>
    <n v="0.5"/>
    <n v="270.07724993333335"/>
    <n v="224.7896320608146"/>
    <n v="0.63798594003484954"/>
    <n v="381.53689480128088"/>
  </r>
  <r>
    <s v="Travel and Tourism ¬ª Interest (Affinity) ¬ª Destinations ¬ª North America"/>
    <x v="1"/>
    <x v="2"/>
    <s v="South Bend-Elkhart, Indiana"/>
    <s v="Indiana"/>
    <s v="boattrader.com"/>
    <s v="Magnite DV+"/>
    <x v="1"/>
    <n v="12354"/>
    <n v="10"/>
    <n v="8561"/>
    <n v="11782"/>
    <n v="5"/>
    <n v="1808.307918"/>
    <n v="8.0945442771571965E-4"/>
    <n v="0.5"/>
    <n v="361.66158359999997"/>
    <n v="146.37428508984945"/>
    <n v="0.72661687319640134"/>
    <n v="211.22624903632754"/>
  </r>
  <r>
    <s v="Online Behavior&gt;United States&gt;Intent ¬ª Shopping&gt;Consumer Electronics ¬ª Computers, Laptops"/>
    <x v="1"/>
    <x v="1"/>
    <s v="Knoxville, Tennessee"/>
    <s v="Tennessee"/>
    <s v="cargurus.com"/>
    <s v="Yahoo Exchange"/>
    <x v="1"/>
    <n v="16644"/>
    <n v="10"/>
    <n v="5055"/>
    <n v="15831"/>
    <n v="5"/>
    <n v="6386.4642320000003"/>
    <n v="6.0081711127132897E-4"/>
    <n v="0.5"/>
    <n v="1277.2928464000001"/>
    <n v="383.70969911079072"/>
    <n v="0.31931021413682015"/>
    <n v="1263.3954959446094"/>
  </r>
  <r>
    <s v="Online Behavior&gt;United States&gt;Food and Drink&gt;Restaurants ¬ª Fast Food"/>
    <x v="2"/>
    <x v="2"/>
    <s v="Chicago, Illinois"/>
    <s v="Illinois"/>
    <s v="macrumors.com"/>
    <s v="Google Ad Manager"/>
    <x v="1"/>
    <n v="7822"/>
    <n v="25"/>
    <n v="3786"/>
    <n v="7232"/>
    <n v="13"/>
    <n v="6781.8216469999998"/>
    <n v="3.1961135259524417E-3"/>
    <n v="0.52"/>
    <n v="521.67858823076926"/>
    <n v="867.01887586295061"/>
    <n v="0.52350663716814161"/>
    <n v="1791.2893943475963"/>
  </r>
  <r>
    <s v="US ¬ª Sociodemographic ¬ª P$YCLE Premier Lifestage ¬ª M3 Upscale Empty Nests"/>
    <x v="1"/>
    <x v="1"/>
    <s v="Miami-Ft. Lauderdale, Florida"/>
    <s v="Florida"/>
    <s v="historyallday.com"/>
    <s v="BidSwitch"/>
    <x v="1"/>
    <n v="14379"/>
    <n v="30"/>
    <n v="6272"/>
    <n v="11886"/>
    <n v="18"/>
    <n v="1973.5622330000001"/>
    <n v="2.0863759649488839E-3"/>
    <n v="0.6"/>
    <n v="109.64234627777779"/>
    <n v="137.25309360873499"/>
    <n v="0.52767962308598348"/>
    <n v="314.66234582270408"/>
  </r>
  <r>
    <s v="Online Behavior&gt;United States&gt;Intent ¬ª Shopping&gt;Drug Stores"/>
    <x v="1"/>
    <x v="2"/>
    <s v="Jacksonville, Florida"/>
    <s v="Florida"/>
    <s v="investopedia.com"/>
    <s v="Google Ad Manager"/>
    <x v="1"/>
    <n v="7687"/>
    <n v="10"/>
    <n v="5311"/>
    <n v="7266"/>
    <n v="6"/>
    <n v="6486.8539090000004"/>
    <n v="1.3008976193573565E-3"/>
    <n v="0.6"/>
    <n v="1081.1423181666667"/>
    <n v="843.87328073370622"/>
    <n v="0.73093861822185524"/>
    <n v="1221.3997192619092"/>
  </r>
  <r>
    <s v="Online Behavior&gt;United States&gt;Intent ¬ª Auto Buyers ¬ª Category&gt;Van"/>
    <x v="1"/>
    <x v="1"/>
    <s v="Chicago, Illinois"/>
    <s v="Illinois"/>
    <s v="tasteofhome.com"/>
    <s v="Google Ad Manager"/>
    <x v="1"/>
    <n v="9153"/>
    <n v="23"/>
    <n v="4345"/>
    <n v="8376"/>
    <n v="14"/>
    <n v="5007.5258050000002"/>
    <n v="2.5128373210969081E-3"/>
    <n v="0.60869565217391308"/>
    <n v="357.68041464285716"/>
    <n v="547.09120561564509"/>
    <n v="0.51874403056351481"/>
    <n v="1152.4800471806675"/>
  </r>
  <r>
    <s v="US Home ¬ª Property Type ¬ª Single"/>
    <x v="1"/>
    <x v="0"/>
    <s v="New York City, New York"/>
    <s v="New York"/>
    <s v="realtor.com"/>
    <s v="BidSwitch"/>
    <x v="1"/>
    <n v="15318"/>
    <n v="30"/>
    <n v="5928"/>
    <n v="13298"/>
    <n v="19"/>
    <n v="1570.29739"/>
    <n v="1.9584802193497847E-3"/>
    <n v="0.6333333333333333"/>
    <n v="82.647231052631582"/>
    <n v="102.51321256038648"/>
    <n v="0.44578132049932323"/>
    <n v="264.89497132253712"/>
  </r>
  <r>
    <s v="Online Behavior&gt;United States&gt;Arts and Entertainment&gt;Arts and Entertainment"/>
    <x v="1"/>
    <x v="0"/>
    <s v="Orlando-Daytona Beach, Florida"/>
    <s v="Florida"/>
    <s v="nbcchicago.com"/>
    <s v="Google Ad Manager"/>
    <x v="1"/>
    <n v="7248"/>
    <n v="10"/>
    <n v="3988"/>
    <n v="6863"/>
    <n v="7"/>
    <n v="1247"/>
    <n v="1.3796909492273732E-3"/>
    <n v="0.7"/>
    <n v="178.14285714285714"/>
    <n v="172.04746136865342"/>
    <n v="0.5810869881975812"/>
    <n v="312.68806419257771"/>
  </r>
  <r>
    <s v="Online Behavior&gt;United States&gt;Finance ¬ª Investing&gt;Brokerages and Day Trading"/>
    <x v="0"/>
    <x v="3"/>
    <s v="Memphis, Tennessee"/>
    <s v="Tennessee"/>
    <s v="newsmemory.com"/>
    <s v="Google Ad Manager"/>
    <x v="2"/>
    <n v="7695"/>
    <n v="20"/>
    <n v="3481"/>
    <n v="7050"/>
    <n v="14"/>
    <n v="6727.4404990000003"/>
    <n v="2.5990903183885639E-3"/>
    <n v="0.7"/>
    <n v="480.53146421428573"/>
    <n v="874.26127342430152"/>
    <n v="0.49375886524822693"/>
    <n v="1932.6172074116632"/>
  </r>
  <r>
    <s v="US ¬ª Sociodemographic ¬ª ConneXions Lifestage ¬ª F1 Early Adopting Elite"/>
    <x v="1"/>
    <x v="1"/>
    <s v="New York City, New York"/>
    <s v="New York"/>
    <s v="forbes.com"/>
    <s v="Google Ad Manager"/>
    <x v="1"/>
    <n v="20899"/>
    <n v="20"/>
    <n v="11394"/>
    <n v="19576"/>
    <n v="19"/>
    <n v="1649.459852"/>
    <n v="9.5698358773147038E-4"/>
    <n v="0.95"/>
    <n v="86.813676421052634"/>
    <n v="78.925300349299008"/>
    <n v="0.58203923171230076"/>
    <n v="144.76565315078111"/>
  </r>
  <r>
    <s v="US ¬ª Brand Propensities ¬ª Travel ¬ª American Airlines Buyer Propensity"/>
    <x v="0"/>
    <x v="0"/>
    <s v="New York City, New York"/>
    <s v="New York"/>
    <s v="classmates.com"/>
    <s v="PulsePoint"/>
    <x v="2"/>
    <n v="12176"/>
    <n v="10"/>
    <n v="5460"/>
    <n v="11154"/>
    <n v="10"/>
    <n v="1816.030806"/>
    <n v="8.212877792378449E-4"/>
    <n v="1"/>
    <n v="181.6030806"/>
    <n v="149.14839076872536"/>
    <n v="0.48951048951048953"/>
    <n v="332.60637472527475"/>
  </r>
  <r>
    <s v="Online Behavior&gt;United States&gt;Travel&gt;Air Travel"/>
    <x v="0"/>
    <x v="2"/>
    <s v="Chicago, Illinois"/>
    <s v="Illinois"/>
    <s v="finance.yahoo.com"/>
    <s v="Google Ad Manager"/>
    <x v="0"/>
    <n v="27394"/>
    <n v="74"/>
    <n v="16144"/>
    <n v="24752"/>
    <n v="78"/>
    <n v="7264.5876099999996"/>
    <n v="2.7013214572534131E-3"/>
    <n v="1.0540540540540539"/>
    <n v="93.135738589743582"/>
    <n v="265.18900525662553"/>
    <n v="0.65223012281835813"/>
    <n v="449.9868440287413"/>
  </r>
  <r>
    <s v="Online Behavior&gt;United States&gt;Arts and Entertainment&gt;Events and Listings ¬ª Live Sporting Events"/>
    <x v="1"/>
    <x v="0"/>
    <s v="Chicago, Illinois"/>
    <s v="Illinois"/>
    <s v="my.yahoo.com"/>
    <s v="Google Ad Manager"/>
    <x v="1"/>
    <n v="21028"/>
    <n v="10"/>
    <n v="5781"/>
    <n v="16134"/>
    <n v="11"/>
    <n v="5101.3216549999997"/>
    <n v="4.7555640098915732E-4"/>
    <n v="1.1000000000000001"/>
    <n v="463.75651409090909"/>
    <n v="242.59661665398517"/>
    <n v="0.35831164001487542"/>
    <n v="882.4289318457013"/>
  </r>
  <r>
    <s v="Online Behavior&gt;United States&gt;Travel&gt;Tourist Destinations ¬ª Lakes and Rivers"/>
    <x v="0"/>
    <x v="0"/>
    <s v="Chicago, Illinois"/>
    <s v="Illinois"/>
    <s v="flightaware.com"/>
    <s v="Index Exchange"/>
    <x v="1"/>
    <n v="12710"/>
    <n v="10"/>
    <n v="8159"/>
    <n v="11984"/>
    <n v="11"/>
    <n v="7851.3974779999999"/>
    <n v="7.8678206136900079E-4"/>
    <n v="1.1000000000000001"/>
    <n v="713.76340709090903"/>
    <n v="617.73386923682131"/>
    <n v="0.68082443257676906"/>
    <n v="962.29899227846556"/>
  </r>
  <r>
    <s v="OnAudience ¬ª Interest ¬ª Shopping ¬ª Shopping Mall Buyers"/>
    <x v="0"/>
    <x v="2"/>
    <s v="Memphis, Tennessee"/>
    <s v="Tennessee"/>
    <s v="cargurus.com"/>
    <s v="Sharethrough"/>
    <x v="1"/>
    <n v="7409"/>
    <n v="10"/>
    <n v="5009"/>
    <n v="7160"/>
    <n v="12"/>
    <n v="1472.110115"/>
    <n v="1.3497098123903361E-3"/>
    <n v="1.2"/>
    <n v="122.67584291666667"/>
    <n v="198.69214671345659"/>
    <n v="0.6995810055865922"/>
    <n v="293.89301557197047"/>
  </r>
  <r>
    <s v="Online Behavior&gt;United States&gt;Beauty and Fitness&gt;Face and Body Care ¬ª Make-Up and Cosmetics"/>
    <x v="0"/>
    <x v="3"/>
    <s v="San Francisco, California"/>
    <s v="California"/>
    <s v="zdnet.com"/>
    <s v="BidSwitch"/>
    <x v="2"/>
    <n v="7585"/>
    <n v="13"/>
    <n v="5396"/>
    <n v="7417"/>
    <n v="24"/>
    <n v="7082.6538019999998"/>
    <n v="1.7139090309822016E-3"/>
    <n v="1.8461538461538463"/>
    <n v="295.11057508333334"/>
    <n v="933.77110112063281"/>
    <n v="0.72751786436564647"/>
    <n v="1312.5748335804299"/>
  </r>
  <r>
    <s v="US Financial ¬ª Method of Payment ¬ª Other"/>
    <x v="1"/>
    <x v="0"/>
    <s v="San Francisco, California"/>
    <s v="California"/>
    <s v="whatismyipaddress.com"/>
    <s v="Magnite DV+"/>
    <x v="1"/>
    <n v="15311"/>
    <n v="10"/>
    <n v="7757"/>
    <n v="12630"/>
    <n v="19"/>
    <n v="1471.187144"/>
    <n v="6.5312520410162628E-4"/>
    <n v="1.9"/>
    <n v="77.430902315789467"/>
    <n v="96.086940369668866"/>
    <n v="0.61417260490894698"/>
    <n v="189.6592940569808"/>
  </r>
  <r>
    <s v="Online Behavior&gt;United States&gt;B2B ¬ª Occupation&gt;PropertyManager"/>
    <x v="0"/>
    <x v="3"/>
    <s v="Chicago, Illinois"/>
    <s v="Illinois"/>
    <s v="whatismyipaddress.com"/>
    <s v="Google Ad Manager"/>
    <x v="2"/>
    <n v="7447"/>
    <n v="10"/>
    <n v="4163"/>
    <n v="5586"/>
    <n v="19"/>
    <n v="3311.9412459999999"/>
    <n v="1.3428226131328052E-3"/>
    <n v="1.9"/>
    <n v="174.31269715789472"/>
    <n v="444.73495984960385"/>
    <n v="0.74525599713569635"/>
    <n v="795.56599711746333"/>
  </r>
  <r>
    <s v="Online Behavior&gt;United States&gt;Sports&gt;Team Sports ¬ª Basketball"/>
    <x v="0"/>
    <x v="1"/>
    <s v="New York City, New York"/>
    <s v="New York"/>
    <s v="aol.com"/>
    <s v="PubMatic"/>
    <x v="0"/>
    <n v="19379"/>
    <n v="49"/>
    <n v="12168"/>
    <n v="16616"/>
    <n v="97"/>
    <n v="7294.1000009999998"/>
    <n v="2.528510243046597E-3"/>
    <n v="1.9795918367346939"/>
    <n v="75.196907226804115"/>
    <n v="376.39197074152429"/>
    <n v="0.7323062108810785"/>
    <n v="599.44937549309668"/>
  </r>
  <r>
    <m/>
    <x v="3"/>
    <x v="4"/>
    <m/>
    <m/>
    <m/>
    <m/>
    <x v="3"/>
    <m/>
    <m/>
    <m/>
    <m/>
    <m/>
    <m/>
    <m/>
    <m/>
    <m/>
    <m/>
    <m/>
    <m/>
  </r>
  <r>
    <m/>
    <x v="3"/>
    <x v="4"/>
    <m/>
    <m/>
    <m/>
    <m/>
    <x v="3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578A7-5006-5042-99AE-7CD698D89E3C}" name="PivotTable1" cacheId="1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>
  <location ref="A3:G8" firstHeaderRow="0" firstDataRow="1" firstDataCol="1"/>
  <pivotFields count="20"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Measurable Impressions" fld="11" baseField="0" baseItem="0"/>
    <dataField name="Sum of Viewable Impressions" fld="10" baseField="0" baseItem="0"/>
    <dataField name="Sum of Gross Cost" fld="13" baseField="0" baseItem="0"/>
    <dataField name="Sum of Total Conversions" fld="12" baseField="0" baseItem="0"/>
    <dataField name="Sum of Clicks" fld="9" baseField="0" baseItem="0"/>
    <dataField name="Sum of Impression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D7B643-189D-3440-AE15-235D698081A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9" firstHeaderRow="0" firstDataRow="1" firstDataCol="1"/>
  <pivotFields count="20">
    <pivotField showAll="0"/>
    <pivotField showAll="0"/>
    <pivotField axis="axisRow" showAll="0">
      <items count="6">
        <item x="3"/>
        <item x="2"/>
        <item x="1"/>
        <item x="0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Measurable Impressions" fld="11" baseField="0" baseItem="0"/>
    <dataField name="Sum of Viewable Impressions" fld="10" baseField="0" baseItem="0"/>
    <dataField name="Sum of Gross Cost" fld="13" baseField="0" baseItem="0"/>
    <dataField name="Sum of Total Conversions" fld="12" baseField="0" baseItem="0"/>
    <dataField name="Sum of Clicks" fld="9" baseField="0" baseItem="0"/>
    <dataField name="Sum of Impression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354941-B925-DD41-847A-F36C7C47F02C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G12" firstHeaderRow="0" firstDataRow="1" firstDataCol="1"/>
  <pivotFields count="20"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</pivotFields>
  <rowFields count="2">
    <field x="7"/>
    <field x="1"/>
  </rowFields>
  <rowItems count="11">
    <i>
      <x/>
    </i>
    <i r="1">
      <x/>
    </i>
    <i>
      <x v="1"/>
    </i>
    <i r="1">
      <x/>
    </i>
    <i r="1">
      <x v="1"/>
    </i>
    <i r="1">
      <x v="2"/>
    </i>
    <i>
      <x v="2"/>
    </i>
    <i r="1">
      <x/>
    </i>
    <i>
      <x v="3"/>
    </i>
    <i r="1"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Gross Cost" fld="13" baseField="0" baseItem="0"/>
    <dataField name="Sum of Total Conversions" fld="12" baseField="0" baseItem="0"/>
    <dataField name="Sum of Measurable Impressions" fld="11" baseField="0" baseItem="0"/>
    <dataField name="Sum of Viewable Impressions" fld="10" baseField="0" baseItem="0"/>
    <dataField name="Sum of Clicks" fld="9" baseField="0" baseItem="0"/>
    <dataField name="Sum of Impression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486227-9C8A-B443-81CE-CF849F90391A}" name="Table1" displayName="Table1" ref="A1:U728" totalsRowShown="0" headerRowDxfId="5">
  <autoFilter ref="A1:U728" xr:uid="{97486227-9C8A-B443-81CE-CF849F90391A}"/>
  <sortState xmlns:xlrd2="http://schemas.microsoft.com/office/spreadsheetml/2017/richdata2" ref="A2:T728">
    <sortCondition descending="1" ref="R1:R728"/>
  </sortState>
  <tableColumns count="21">
    <tableColumn id="1" xr3:uid="{635D14E5-6494-0D41-B447-B0FE55440CF0}" name="Audience Segment"/>
    <tableColumn id="2" xr3:uid="{387B33A7-0CE0-F440-9390-35E7F0CA4019}" name="Creative Size"/>
    <tableColumn id="3" xr3:uid="{B0925D6B-CA0C-BA43-AADC-1F9A93679396}" name="Creative Messaging"/>
    <tableColumn id="4" xr3:uid="{3C059EA0-9B5C-484B-B63C-1E33B038CFD7}" name="Location"/>
    <tableColumn id="15" xr3:uid="{62C19464-18D4-9145-9319-56A11CCF3D6E}" name="State" dataDxfId="4">
      <calculatedColumnFormula>TRIM(RIGHT(Table1[[#This Row],[Location]],LEN(Table1[[#This Row],[Location]])-FIND(",",Table1[[#This Row],[Location]])))</calculatedColumnFormula>
    </tableColumn>
    <tableColumn id="5" xr3:uid="{BB7053B4-F6D0-9E44-BA52-B6C273A1884D}" name="App/URL"/>
    <tableColumn id="6" xr3:uid="{2A7D358C-49FE-D242-ACAF-EB794D3F09D4}" name="Exchange"/>
    <tableColumn id="7" xr3:uid="{6FFB1989-198E-A844-B0E4-04C5EB35D0BE}" name="Device Make"/>
    <tableColumn id="8" xr3:uid="{795908F4-0593-1C40-9D9E-45262AD5F7E6}" name="Impressions"/>
    <tableColumn id="9" xr3:uid="{AD2AF50D-729A-A54A-91FE-EB280DA924A5}" name="Clicks"/>
    <tableColumn id="10" xr3:uid="{384D5C06-9D25-FB4C-909D-8B394865A7B9}" name="Viewable Impressions"/>
    <tableColumn id="11" xr3:uid="{970F6721-5F02-BE48-99AB-EABA69BDDA62}" name="Measurable Impressions"/>
    <tableColumn id="12" xr3:uid="{A1345D7D-2DC6-CB48-9C6D-662F74C40D5E}" name="Total Conversions"/>
    <tableColumn id="13" xr3:uid="{995009A2-E108-2244-9B36-2CD5661BA15C}" name="Gross Cost"/>
    <tableColumn id="16" xr3:uid="{7B2D9A4A-59F9-6546-9109-1073EE49E494}" name="CTR (%)" dataDxfId="3" dataCellStyle="Percent">
      <calculatedColumnFormula>IFERROR(Table1[[#This Row],[Clicks]]/Table1[[#This Row],[Impressions]],0)</calculatedColumnFormula>
    </tableColumn>
    <tableColumn id="17" xr3:uid="{7802A3D5-A2F9-8F42-B165-1B46FE104D3A}" name="CVR (%; post-click)" dataDxfId="2" dataCellStyle="Percent">
      <calculatedColumnFormula>IFERROR(Table1[[#This Row],[Total Conversions]]/Table1[[#This Row],[Clicks]],0)</calculatedColumnFormula>
    </tableColumn>
    <tableColumn id="18" xr3:uid="{ADD144D2-87AB-B047-AE1E-92438AEBA14C}" name="CPA ($ per conversion)" dataCellStyle="Currency">
      <calculatedColumnFormula>IFERROR(Table1[[#This Row],[Gross Cost]]/Table1[[#This Row],[Total Conversions]],0)</calculatedColumnFormula>
    </tableColumn>
    <tableColumn id="19" xr3:uid="{19D3D213-7828-C946-9084-9E5FBEC2F74F}" name="CPM ($ per 1000 impressions)" dataCellStyle="Currency">
      <calculatedColumnFormula>IFERROR(Table1[[#This Row],[Gross Cost]]/(Table1[[#This Row],[Impressions]]/1000),0)</calculatedColumnFormula>
    </tableColumn>
    <tableColumn id="20" xr3:uid="{4695E604-B66C-7748-8FBF-4C48E16D6F88}" name="Viewability Rate (%)" dataDxfId="1" dataCellStyle="Percent">
      <calculatedColumnFormula>IFERROR(Table1[[#This Row],[Viewable Impressions]]/Table1[[#This Row],[Measurable Impressions]],0)</calculatedColumnFormula>
    </tableColumn>
    <tableColumn id="22" xr3:uid="{B8B18A5A-E9B5-B749-A5BE-5ED56AB172B6}" name="vCPM ($ per 1000 viewable impressions)" dataCellStyle="Currency">
      <calculatedColumnFormula>IFERROR(1000*Table1[[#This Row],[Gross Cost]]/Table1[[#This Row],[Viewable Impressions]],0)</calculatedColumnFormula>
    </tableColumn>
    <tableColumn id="14" xr3:uid="{49E9C8E7-C2EB-674B-94D9-449C92B8A2D2}" name="Column1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8905C-3DEC-9B4A-A5F7-5429C177D3B1}">
  <dimension ref="A3:L8"/>
  <sheetViews>
    <sheetView tabSelected="1" workbookViewId="0">
      <selection activeCell="L4" sqref="L4:L8"/>
    </sheetView>
  </sheetViews>
  <sheetFormatPr baseColWidth="10" defaultRowHeight="16" x14ac:dyDescent="0.2"/>
  <cols>
    <col min="1" max="1" width="13" customWidth="1"/>
    <col min="2" max="2" width="28" bestFit="1" customWidth="1"/>
    <col min="3" max="3" width="25.6640625" bestFit="1" customWidth="1"/>
    <col min="4" max="4" width="16.6640625" bestFit="1" customWidth="1"/>
    <col min="5" max="5" width="22.1640625" bestFit="1" customWidth="1"/>
    <col min="6" max="6" width="12.5" bestFit="1" customWidth="1"/>
    <col min="7" max="7" width="17.6640625" bestFit="1" customWidth="1"/>
    <col min="8" max="9" width="17.6640625" customWidth="1"/>
    <col min="10" max="10" width="17.6640625" bestFit="1" customWidth="1"/>
  </cols>
  <sheetData>
    <row r="3" spans="1:12" x14ac:dyDescent="0.2">
      <c r="A3" s="11" t="s">
        <v>1048</v>
      </c>
      <c r="B3" t="s">
        <v>1056</v>
      </c>
      <c r="C3" t="s">
        <v>1055</v>
      </c>
      <c r="D3" t="s">
        <v>1054</v>
      </c>
      <c r="E3" t="s">
        <v>1053</v>
      </c>
      <c r="F3" t="s">
        <v>1052</v>
      </c>
      <c r="G3" t="s">
        <v>1051</v>
      </c>
      <c r="H3" t="s">
        <v>1058</v>
      </c>
      <c r="I3" t="s">
        <v>1059</v>
      </c>
      <c r="J3" t="s">
        <v>1060</v>
      </c>
      <c r="K3" t="s">
        <v>1061</v>
      </c>
      <c r="L3" t="s">
        <v>1062</v>
      </c>
    </row>
    <row r="4" spans="1:12" x14ac:dyDescent="0.2">
      <c r="A4" s="12" t="s">
        <v>14</v>
      </c>
      <c r="B4" s="14">
        <v>35491152</v>
      </c>
      <c r="C4" s="14">
        <v>19354221</v>
      </c>
      <c r="D4" s="14">
        <v>1273132.8068750007</v>
      </c>
      <c r="E4" s="14">
        <v>3905</v>
      </c>
      <c r="F4" s="14">
        <v>115476</v>
      </c>
      <c r="G4" s="14">
        <v>40755215</v>
      </c>
      <c r="H4" s="10">
        <f>D4/E4</f>
        <v>326.02632698463526</v>
      </c>
      <c r="I4" s="15">
        <f>F4/G4</f>
        <v>2.8334042649511234E-3</v>
      </c>
      <c r="J4" s="7">
        <f>E4/F4</f>
        <v>3.3816550625238147E-2</v>
      </c>
      <c r="K4" s="10">
        <f>(D4/G4)*1000</f>
        <v>31.238525103474505</v>
      </c>
      <c r="L4" s="10">
        <f>(D4/C4)*1000</f>
        <v>65.780627743942816</v>
      </c>
    </row>
    <row r="5" spans="1:12" x14ac:dyDescent="0.2">
      <c r="A5" s="12" t="s">
        <v>60</v>
      </c>
      <c r="B5" s="14">
        <v>4339064</v>
      </c>
      <c r="C5" s="14">
        <v>2350645</v>
      </c>
      <c r="D5" s="14">
        <v>255589.67608300003</v>
      </c>
      <c r="E5" s="14">
        <v>560</v>
      </c>
      <c r="F5" s="14">
        <v>14894</v>
      </c>
      <c r="G5" s="14">
        <v>4935462</v>
      </c>
      <c r="H5" s="10">
        <f t="shared" ref="H5:H8" si="0">D5/E5</f>
        <v>456.41013586250006</v>
      </c>
      <c r="I5" s="15">
        <f t="shared" ref="I5:I8" si="1">F5/G5</f>
        <v>3.0177519348745874E-3</v>
      </c>
      <c r="J5" s="7">
        <f t="shared" ref="J5:J8" si="2">E5/F5</f>
        <v>3.7599033167718544E-2</v>
      </c>
      <c r="K5" s="10">
        <f t="shared" ref="K5:K8" si="3">(D5/G5)*1000</f>
        <v>51.786373004796722</v>
      </c>
      <c r="L5" s="10">
        <f t="shared" ref="L5:L8" si="4">(D5/C5)*1000</f>
        <v>108.73172090341163</v>
      </c>
    </row>
    <row r="6" spans="1:12" x14ac:dyDescent="0.2">
      <c r="A6" s="12" t="s">
        <v>21</v>
      </c>
      <c r="B6" s="14">
        <v>34342489</v>
      </c>
      <c r="C6" s="14">
        <v>20191825</v>
      </c>
      <c r="D6" s="14">
        <v>1245150.5222249995</v>
      </c>
      <c r="E6" s="14">
        <v>4009</v>
      </c>
      <c r="F6" s="14">
        <v>102729</v>
      </c>
      <c r="G6" s="14">
        <v>40014637</v>
      </c>
      <c r="H6" s="10">
        <f t="shared" si="0"/>
        <v>310.58880574332738</v>
      </c>
      <c r="I6" s="15">
        <f t="shared" si="1"/>
        <v>2.5672855660292507E-3</v>
      </c>
      <c r="J6" s="7">
        <f t="shared" si="2"/>
        <v>3.9025007544120936E-2</v>
      </c>
      <c r="K6" s="10">
        <f t="shared" si="3"/>
        <v>31.117376429654968</v>
      </c>
      <c r="L6" s="10">
        <f t="shared" si="4"/>
        <v>61.666071403897341</v>
      </c>
    </row>
    <row r="7" spans="1:12" x14ac:dyDescent="0.2">
      <c r="A7" s="12" t="s">
        <v>1049</v>
      </c>
      <c r="B7" s="14"/>
      <c r="C7" s="14"/>
      <c r="D7" s="14"/>
      <c r="E7" s="14"/>
      <c r="F7" s="14"/>
      <c r="G7" s="14"/>
      <c r="H7" s="10"/>
      <c r="I7" s="15"/>
      <c r="J7" s="7"/>
      <c r="K7" s="10"/>
      <c r="L7" s="10"/>
    </row>
    <row r="8" spans="1:12" x14ac:dyDescent="0.2">
      <c r="A8" s="12" t="s">
        <v>1050</v>
      </c>
      <c r="B8" s="14">
        <v>74172705</v>
      </c>
      <c r="C8" s="14">
        <v>41896691</v>
      </c>
      <c r="D8" s="14">
        <v>2773873.0051830001</v>
      </c>
      <c r="E8" s="14">
        <v>8474</v>
      </c>
      <c r="F8" s="14">
        <v>233099</v>
      </c>
      <c r="G8" s="14">
        <v>85705314</v>
      </c>
      <c r="H8" s="10">
        <f t="shared" si="0"/>
        <v>327.33927368220441</v>
      </c>
      <c r="I8" s="15">
        <f t="shared" si="1"/>
        <v>2.7197730119744969E-3</v>
      </c>
      <c r="J8" s="7">
        <f t="shared" si="2"/>
        <v>3.6353652310820724E-2</v>
      </c>
      <c r="K8" s="10">
        <f t="shared" si="3"/>
        <v>32.365239396742659</v>
      </c>
      <c r="L8" s="10">
        <f t="shared" si="4"/>
        <v>66.207448344381191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B17DC-643A-A342-B606-25C1C3553CEC}">
  <dimension ref="A3:L9"/>
  <sheetViews>
    <sheetView workbookViewId="0">
      <selection activeCell="L8" sqref="L8"/>
    </sheetView>
  </sheetViews>
  <sheetFormatPr baseColWidth="10" defaultRowHeight="16" x14ac:dyDescent="0.2"/>
  <cols>
    <col min="1" max="1" width="27.1640625" bestFit="1" customWidth="1"/>
    <col min="2" max="2" width="28" bestFit="1" customWidth="1"/>
    <col min="3" max="3" width="25.6640625" bestFit="1" customWidth="1"/>
    <col min="4" max="4" width="16.6640625" bestFit="1" customWidth="1"/>
    <col min="5" max="5" width="22.1640625" bestFit="1" customWidth="1"/>
    <col min="6" max="6" width="12.5" bestFit="1" customWidth="1"/>
    <col min="7" max="7" width="17.6640625" bestFit="1" customWidth="1"/>
  </cols>
  <sheetData>
    <row r="3" spans="1:12" x14ac:dyDescent="0.2">
      <c r="A3" s="11" t="s">
        <v>1048</v>
      </c>
      <c r="B3" t="s">
        <v>1056</v>
      </c>
      <c r="C3" t="s">
        <v>1055</v>
      </c>
      <c r="D3" t="s">
        <v>1054</v>
      </c>
      <c r="E3" t="s">
        <v>1053</v>
      </c>
      <c r="F3" t="s">
        <v>1052</v>
      </c>
      <c r="G3" t="s">
        <v>1051</v>
      </c>
      <c r="H3" t="s">
        <v>1058</v>
      </c>
      <c r="I3" t="s">
        <v>1059</v>
      </c>
      <c r="J3" t="s">
        <v>1060</v>
      </c>
      <c r="K3" t="s">
        <v>1061</v>
      </c>
      <c r="L3" t="s">
        <v>1062</v>
      </c>
    </row>
    <row r="4" spans="1:12" x14ac:dyDescent="0.2">
      <c r="A4" s="12" t="s">
        <v>41</v>
      </c>
      <c r="B4">
        <v>21439856</v>
      </c>
      <c r="C4">
        <v>12569059</v>
      </c>
      <c r="D4">
        <v>691522.62685899984</v>
      </c>
      <c r="E4">
        <v>2237</v>
      </c>
      <c r="F4">
        <v>58860</v>
      </c>
      <c r="G4">
        <v>25035540</v>
      </c>
      <c r="H4">
        <f>D4/E4</f>
        <v>309.12947110371027</v>
      </c>
      <c r="I4">
        <f>F4/G4</f>
        <v>2.3510577363220447E-3</v>
      </c>
      <c r="J4">
        <f>E4/F4</f>
        <v>3.8005436629289839E-2</v>
      </c>
      <c r="K4">
        <f>(D4/G4)*1000</f>
        <v>27.621638153560891</v>
      </c>
      <c r="L4">
        <f>(D4/C4)*1000</f>
        <v>55.017851921850301</v>
      </c>
    </row>
    <row r="5" spans="1:12" x14ac:dyDescent="0.2">
      <c r="A5" s="12" t="s">
        <v>30</v>
      </c>
      <c r="B5">
        <v>14954728</v>
      </c>
      <c r="C5">
        <v>8467683</v>
      </c>
      <c r="D5">
        <v>590091.34196600015</v>
      </c>
      <c r="E5">
        <v>1676</v>
      </c>
      <c r="F5">
        <v>48516</v>
      </c>
      <c r="G5">
        <v>17150590</v>
      </c>
      <c r="H5">
        <f t="shared" ref="H5:H9" si="0">D5/E5</f>
        <v>352.0831395978521</v>
      </c>
      <c r="I5">
        <f t="shared" ref="I5:I9" si="1">F5/G5</f>
        <v>2.8288239646566096E-3</v>
      </c>
      <c r="J5">
        <f t="shared" ref="J5:J9" si="2">E5/F5</f>
        <v>3.4545304641767666E-2</v>
      </c>
      <c r="K5">
        <f t="shared" ref="K5:K9" si="3">(D5/G5)*1000</f>
        <v>34.406474760693378</v>
      </c>
      <c r="L5">
        <f t="shared" ref="L5:L9" si="4">(D5/C5)*1000</f>
        <v>69.687462552152724</v>
      </c>
    </row>
    <row r="6" spans="1:12" x14ac:dyDescent="0.2">
      <c r="A6" s="12" t="s">
        <v>22</v>
      </c>
      <c r="B6">
        <v>18151228</v>
      </c>
      <c r="C6">
        <v>10632434</v>
      </c>
      <c r="D6">
        <v>678403.45682699932</v>
      </c>
      <c r="E6">
        <v>1997</v>
      </c>
      <c r="F6">
        <v>60421</v>
      </c>
      <c r="G6">
        <v>21106602</v>
      </c>
      <c r="H6">
        <f t="shared" si="0"/>
        <v>339.71129535653444</v>
      </c>
      <c r="I6">
        <f t="shared" si="1"/>
        <v>2.8626588022079538E-3</v>
      </c>
      <c r="J6">
        <f t="shared" si="2"/>
        <v>3.3051422518660729E-2</v>
      </c>
      <c r="K6">
        <f t="shared" si="3"/>
        <v>32.141765729367492</v>
      </c>
      <c r="L6">
        <f t="shared" si="4"/>
        <v>63.805094565082584</v>
      </c>
    </row>
    <row r="7" spans="1:12" x14ac:dyDescent="0.2">
      <c r="A7" s="12" t="s">
        <v>15</v>
      </c>
      <c r="B7">
        <v>19626893</v>
      </c>
      <c r="C7">
        <v>10227515</v>
      </c>
      <c r="D7">
        <v>813855.579531</v>
      </c>
      <c r="E7">
        <v>2564</v>
      </c>
      <c r="F7">
        <v>65302</v>
      </c>
      <c r="G7">
        <v>22412582</v>
      </c>
      <c r="H7">
        <f t="shared" si="0"/>
        <v>317.4163726719969</v>
      </c>
      <c r="I7">
        <f t="shared" si="1"/>
        <v>2.913631280858225E-3</v>
      </c>
      <c r="J7">
        <f t="shared" si="2"/>
        <v>3.9263728522863008E-2</v>
      </c>
      <c r="K7">
        <f t="shared" si="3"/>
        <v>36.312441803046163</v>
      </c>
      <c r="L7">
        <f t="shared" si="4"/>
        <v>79.57510495276712</v>
      </c>
    </row>
    <row r="8" spans="1:12" x14ac:dyDescent="0.2">
      <c r="A8" s="12" t="s">
        <v>1049</v>
      </c>
    </row>
    <row r="9" spans="1:12" x14ac:dyDescent="0.2">
      <c r="A9" s="12" t="s">
        <v>1050</v>
      </c>
      <c r="B9">
        <v>74172705</v>
      </c>
      <c r="C9">
        <v>41896691</v>
      </c>
      <c r="D9">
        <v>2773873.0051829992</v>
      </c>
      <c r="E9">
        <v>8474</v>
      </c>
      <c r="F9">
        <v>233099</v>
      </c>
      <c r="G9">
        <v>85705314</v>
      </c>
      <c r="H9">
        <f t="shared" si="0"/>
        <v>327.33927368220429</v>
      </c>
      <c r="I9">
        <f t="shared" si="1"/>
        <v>2.7197730119744969E-3</v>
      </c>
      <c r="J9">
        <f t="shared" si="2"/>
        <v>3.6353652310820724E-2</v>
      </c>
      <c r="K9">
        <f t="shared" si="3"/>
        <v>32.365239396742652</v>
      </c>
      <c r="L9">
        <f t="shared" si="4"/>
        <v>66.207448344381163</v>
      </c>
    </row>
  </sheetData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992D7-1F0D-4E40-9E38-E493F38DD6D7}">
  <dimension ref="A1:L12"/>
  <sheetViews>
    <sheetView workbookViewId="0">
      <selection activeCell="M20" sqref="M20"/>
    </sheetView>
  </sheetViews>
  <sheetFormatPr baseColWidth="10" defaultRowHeight="16" x14ac:dyDescent="0.2"/>
  <cols>
    <col min="1" max="1" width="13.1640625" bestFit="1" customWidth="1"/>
    <col min="2" max="2" width="16.6640625" bestFit="1" customWidth="1"/>
    <col min="3" max="3" width="22.1640625" bestFit="1" customWidth="1"/>
    <col min="4" max="4" width="28" bestFit="1" customWidth="1"/>
    <col min="5" max="5" width="25.6640625" bestFit="1" customWidth="1"/>
    <col min="6" max="6" width="12.5" bestFit="1" customWidth="1"/>
    <col min="7" max="7" width="17.6640625" bestFit="1" customWidth="1"/>
  </cols>
  <sheetData>
    <row r="1" spans="1:12" x14ac:dyDescent="0.2">
      <c r="A1" s="11" t="s">
        <v>1048</v>
      </c>
      <c r="B1" t="s">
        <v>1054</v>
      </c>
      <c r="C1" t="s">
        <v>1053</v>
      </c>
      <c r="D1" t="s">
        <v>1056</v>
      </c>
      <c r="E1" t="s">
        <v>1055</v>
      </c>
      <c r="F1" t="s">
        <v>1052</v>
      </c>
      <c r="G1" t="s">
        <v>1051</v>
      </c>
      <c r="H1" t="s">
        <v>1058</v>
      </c>
      <c r="I1" t="s">
        <v>1059</v>
      </c>
      <c r="J1" t="s">
        <v>1060</v>
      </c>
      <c r="K1" t="s">
        <v>1061</v>
      </c>
      <c r="L1" t="s">
        <v>1062</v>
      </c>
    </row>
    <row r="2" spans="1:12" x14ac:dyDescent="0.2">
      <c r="A2" s="12" t="s">
        <v>19</v>
      </c>
      <c r="B2" s="14">
        <v>214803.86832599994</v>
      </c>
      <c r="C2" s="14">
        <v>620</v>
      </c>
      <c r="D2" s="14">
        <v>2461914</v>
      </c>
      <c r="E2" s="14">
        <v>1219699</v>
      </c>
      <c r="F2" s="14">
        <v>8987</v>
      </c>
      <c r="G2" s="14">
        <v>2805143</v>
      </c>
      <c r="H2">
        <f>B3/C3</f>
        <v>346.4578521387096</v>
      </c>
      <c r="I2">
        <f>F3/G3</f>
        <v>3.2037582397760112E-3</v>
      </c>
      <c r="J2">
        <f>C3/F3</f>
        <v>6.8988539000778906E-2</v>
      </c>
      <c r="K2">
        <f>(B3/G3)*1000</f>
        <v>76.575015364992055</v>
      </c>
      <c r="L2">
        <f>(B3/E3)*1000</f>
        <v>176.11219516126513</v>
      </c>
    </row>
    <row r="3" spans="1:12" x14ac:dyDescent="0.2">
      <c r="A3" s="13" t="s">
        <v>14</v>
      </c>
      <c r="B3" s="14">
        <v>214803.86832599994</v>
      </c>
      <c r="C3" s="14">
        <v>620</v>
      </c>
      <c r="D3" s="14">
        <v>2461914</v>
      </c>
      <c r="E3" s="14">
        <v>1219699</v>
      </c>
      <c r="F3" s="14">
        <v>8987</v>
      </c>
      <c r="G3" s="14">
        <v>2805143</v>
      </c>
      <c r="H3">
        <f>B4/C4</f>
        <v>334.19276010817629</v>
      </c>
      <c r="I3">
        <f>F4/G4</f>
        <v>2.6944201057899349E-3</v>
      </c>
      <c r="J3">
        <f>C4/F4</f>
        <v>3.1977792540571322E-2</v>
      </c>
      <c r="K3">
        <f>(B4/G4)*1000</f>
        <v>28.794585312188474</v>
      </c>
      <c r="L3">
        <f>(B4/E4)*1000</f>
        <v>58.407673470082692</v>
      </c>
    </row>
    <row r="4" spans="1:12" x14ac:dyDescent="0.2">
      <c r="A4" s="12" t="s">
        <v>26</v>
      </c>
      <c r="B4" s="14">
        <v>2252125.010369</v>
      </c>
      <c r="C4" s="14">
        <v>6739</v>
      </c>
      <c r="D4" s="14">
        <v>67665219</v>
      </c>
      <c r="E4" s="14">
        <v>38558718</v>
      </c>
      <c r="F4" s="14">
        <v>210740</v>
      </c>
      <c r="G4" s="14">
        <v>78213490</v>
      </c>
      <c r="H4">
        <f>B5/C5</f>
        <v>346.26028205576051</v>
      </c>
      <c r="I4">
        <f>F5/G5</f>
        <v>2.7993838631785919E-3</v>
      </c>
      <c r="J4">
        <f>C5/F5</f>
        <v>2.3304015378502314E-2</v>
      </c>
      <c r="K4">
        <f>(B5/G5)*1000</f>
        <v>22.58894206128895</v>
      </c>
      <c r="L4">
        <f>(B5/E5)*1000</f>
        <v>46.913909678533969</v>
      </c>
    </row>
    <row r="5" spans="1:12" x14ac:dyDescent="0.2">
      <c r="A5" s="13" t="s">
        <v>14</v>
      </c>
      <c r="B5" s="14">
        <v>751384.81206100027</v>
      </c>
      <c r="C5" s="14">
        <v>2170</v>
      </c>
      <c r="D5" s="14">
        <v>28983666</v>
      </c>
      <c r="E5" s="14">
        <v>16016248</v>
      </c>
      <c r="F5" s="14">
        <v>93117</v>
      </c>
      <c r="G5" s="14">
        <v>33263391</v>
      </c>
      <c r="H5">
        <f>B6/C6</f>
        <v>456.41013586250006</v>
      </c>
      <c r="I5">
        <f>F6/G6</f>
        <v>3.0177519348745874E-3</v>
      </c>
      <c r="J5">
        <f>C6/F6</f>
        <v>3.7599033167718544E-2</v>
      </c>
      <c r="K5">
        <f>(B6/G6)*1000</f>
        <v>51.786373004796722</v>
      </c>
      <c r="L5">
        <f>(B6/E6)*1000</f>
        <v>108.73172090341163</v>
      </c>
    </row>
    <row r="6" spans="1:12" x14ac:dyDescent="0.2">
      <c r="A6" s="13" t="s">
        <v>60</v>
      </c>
      <c r="B6" s="14">
        <v>255589.67608300003</v>
      </c>
      <c r="C6" s="14">
        <v>560</v>
      </c>
      <c r="D6" s="14">
        <v>4339064</v>
      </c>
      <c r="E6" s="14">
        <v>2350645</v>
      </c>
      <c r="F6" s="14">
        <v>14894</v>
      </c>
      <c r="G6" s="14">
        <v>4935462</v>
      </c>
      <c r="H6">
        <f>B7/C7</f>
        <v>310.58880574332738</v>
      </c>
      <c r="I6">
        <f>F7/G7</f>
        <v>2.5672855660292507E-3</v>
      </c>
      <c r="J6">
        <f>C7/F7</f>
        <v>3.9025007544120936E-2</v>
      </c>
      <c r="K6">
        <f>(B7/G7)*1000</f>
        <v>31.117376429654968</v>
      </c>
      <c r="L6">
        <f>(B7/E7)*1000</f>
        <v>61.666071403897341</v>
      </c>
    </row>
    <row r="7" spans="1:12" x14ac:dyDescent="0.2">
      <c r="A7" s="13" t="s">
        <v>21</v>
      </c>
      <c r="B7" s="14">
        <v>1245150.5222249995</v>
      </c>
      <c r="C7" s="14">
        <v>4009</v>
      </c>
      <c r="D7" s="14">
        <v>34342489</v>
      </c>
      <c r="E7" s="14">
        <v>20191825</v>
      </c>
      <c r="F7" s="14">
        <v>102729</v>
      </c>
      <c r="G7" s="14">
        <v>40014637</v>
      </c>
      <c r="H7">
        <f>B8/C8</f>
        <v>275.28621209686111</v>
      </c>
      <c r="I7">
        <f>F8/G8</f>
        <v>2.8531918430121446E-3</v>
      </c>
      <c r="J7">
        <f>C8/F8</f>
        <v>8.338318875261741E-2</v>
      </c>
      <c r="K7">
        <f>(B8/G8)*1000</f>
        <v>65.492856562671989</v>
      </c>
      <c r="L7">
        <f>(B8/E8)*1000</f>
        <v>144.90293818835531</v>
      </c>
    </row>
    <row r="8" spans="1:12" x14ac:dyDescent="0.2">
      <c r="A8" s="12" t="s">
        <v>51</v>
      </c>
      <c r="B8" s="14">
        <v>306944.12648800015</v>
      </c>
      <c r="C8" s="14">
        <v>1115</v>
      </c>
      <c r="D8" s="14">
        <v>4045572</v>
      </c>
      <c r="E8" s="14">
        <v>2118274</v>
      </c>
      <c r="F8" s="14">
        <v>13372</v>
      </c>
      <c r="G8" s="14">
        <v>4686681</v>
      </c>
      <c r="H8">
        <f>B9/C9</f>
        <v>275.28621209686111</v>
      </c>
      <c r="I8">
        <f>F9/G9</f>
        <v>2.8531918430121446E-3</v>
      </c>
      <c r="J8">
        <f>C9/F9</f>
        <v>8.338318875261741E-2</v>
      </c>
      <c r="K8">
        <f>(B9/G9)*1000</f>
        <v>65.492856562671989</v>
      </c>
      <c r="L8">
        <f>(B9/E9)*1000</f>
        <v>144.90293818835531</v>
      </c>
    </row>
    <row r="9" spans="1:12" x14ac:dyDescent="0.2">
      <c r="A9" s="13" t="s">
        <v>14</v>
      </c>
      <c r="B9" s="14">
        <v>306944.12648800015</v>
      </c>
      <c r="C9" s="14">
        <v>1115</v>
      </c>
      <c r="D9" s="14">
        <v>4045572</v>
      </c>
      <c r="E9" s="14">
        <v>2118274</v>
      </c>
      <c r="F9" s="14">
        <v>13372</v>
      </c>
      <c r="G9" s="14">
        <v>4686681</v>
      </c>
    </row>
    <row r="10" spans="1:12" x14ac:dyDescent="0.2">
      <c r="A10" s="12" t="s">
        <v>1049</v>
      </c>
      <c r="B10" s="14"/>
      <c r="C10" s="14"/>
      <c r="D10" s="14"/>
      <c r="E10" s="14"/>
      <c r="F10" s="14"/>
      <c r="G10" s="14"/>
    </row>
    <row r="11" spans="1:12" x14ac:dyDescent="0.2">
      <c r="A11" s="13" t="s">
        <v>1049</v>
      </c>
      <c r="B11" s="14"/>
      <c r="C11" s="14"/>
      <c r="D11" s="14"/>
      <c r="E11" s="14"/>
      <c r="F11" s="14"/>
      <c r="G11" s="14"/>
      <c r="H11">
        <f>B12/C12</f>
        <v>327.33927368220441</v>
      </c>
      <c r="I11">
        <f>F12/G12</f>
        <v>2.7197730119744969E-3</v>
      </c>
      <c r="J11">
        <f>C12/F12</f>
        <v>3.6353652310820724E-2</v>
      </c>
      <c r="K11">
        <f>(B12/G12)*1000</f>
        <v>32.365239396742659</v>
      </c>
      <c r="L11">
        <f>(B12/E12)*1000</f>
        <v>66.207448344381191</v>
      </c>
    </row>
    <row r="12" spans="1:12" x14ac:dyDescent="0.2">
      <c r="A12" s="12" t="s">
        <v>1050</v>
      </c>
      <c r="B12" s="14">
        <v>2773873.0051830001</v>
      </c>
      <c r="C12" s="14">
        <v>8474</v>
      </c>
      <c r="D12" s="14">
        <v>74172705</v>
      </c>
      <c r="E12" s="14">
        <v>41896691</v>
      </c>
      <c r="F12" s="14">
        <v>233099</v>
      </c>
      <c r="G12" s="14">
        <v>85705314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20EFA-0D3B-1746-8269-9C09283D2D0E}">
  <dimension ref="A1:U728"/>
  <sheetViews>
    <sheetView topLeftCell="J1" zoomScale="120" zoomScaleNormal="120" workbookViewId="0">
      <selection activeCell="W27" sqref="W27"/>
    </sheetView>
  </sheetViews>
  <sheetFormatPr baseColWidth="10" defaultRowHeight="16" x14ac:dyDescent="0.2"/>
  <cols>
    <col min="1" max="1" width="117.83203125" customWidth="1"/>
    <col min="2" max="2" width="15.33203125" customWidth="1"/>
    <col min="3" max="3" width="32.1640625" customWidth="1"/>
    <col min="4" max="4" width="38.1640625" customWidth="1"/>
    <col min="5" max="5" width="21" customWidth="1"/>
    <col min="6" max="6" width="25.1640625" customWidth="1"/>
    <col min="7" max="7" width="20.33203125" customWidth="1"/>
    <col min="8" max="8" width="17" customWidth="1"/>
    <col min="9" max="9" width="15" customWidth="1"/>
    <col min="10" max="10" width="14.83203125" customWidth="1"/>
    <col min="11" max="11" width="23.83203125" customWidth="1"/>
    <col min="12" max="12" width="26.6640625" customWidth="1"/>
    <col min="13" max="13" width="20.83203125" customWidth="1"/>
    <col min="14" max="14" width="16.1640625" customWidth="1"/>
    <col min="15" max="15" width="13.6640625" style="7" customWidth="1"/>
    <col min="16" max="16" width="20.1640625" style="8" customWidth="1"/>
    <col min="17" max="17" width="22" style="10" customWidth="1"/>
    <col min="18" max="18" width="28.33203125" style="10" customWidth="1"/>
    <col min="19" max="19" width="20.5" style="8" customWidth="1"/>
    <col min="20" max="20" width="38" style="10" customWidth="1"/>
  </cols>
  <sheetData>
    <row r="1" spans="1:21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3" t="s">
        <v>1041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6" t="s">
        <v>1043</v>
      </c>
      <c r="P1" s="4" t="s">
        <v>1044</v>
      </c>
      <c r="Q1" s="9" t="s">
        <v>1042</v>
      </c>
      <c r="R1" s="9" t="s">
        <v>1045</v>
      </c>
      <c r="S1" s="4" t="s">
        <v>1046</v>
      </c>
      <c r="T1" s="9" t="s">
        <v>1047</v>
      </c>
      <c r="U1" s="2" t="s">
        <v>1057</v>
      </c>
    </row>
    <row r="2" spans="1:21" x14ac:dyDescent="0.2">
      <c r="A2" t="s">
        <v>195</v>
      </c>
      <c r="B2" t="s">
        <v>14</v>
      </c>
      <c r="C2" t="s">
        <v>41</v>
      </c>
      <c r="D2" t="s">
        <v>38</v>
      </c>
      <c r="E2" t="str">
        <f>TRIM(RIGHT(Table1[[#This Row],[Location]],LEN(Table1[[#This Row],[Location]])-FIND(",",Table1[[#This Row],[Location]])))</f>
        <v>Tennessee</v>
      </c>
      <c r="F2" t="s">
        <v>196</v>
      </c>
      <c r="G2" t="s">
        <v>45</v>
      </c>
      <c r="H2" t="s">
        <v>26</v>
      </c>
      <c r="I2">
        <v>7229</v>
      </c>
      <c r="J2">
        <v>20</v>
      </c>
      <c r="K2">
        <v>5668</v>
      </c>
      <c r="L2">
        <v>6760</v>
      </c>
      <c r="M2">
        <v>3</v>
      </c>
      <c r="N2">
        <v>6812.588702</v>
      </c>
      <c r="O2" s="7">
        <f>IFERROR(Table1[[#This Row],[Clicks]]/Table1[[#This Row],[Impressions]],0)</f>
        <v>2.7666343892654584E-3</v>
      </c>
      <c r="P2" s="5">
        <f>IFERROR(Table1[[#This Row],[Total Conversions]]/Table1[[#This Row],[Clicks]],0)</f>
        <v>0.15</v>
      </c>
      <c r="Q2" s="10">
        <f>IFERROR(Table1[[#This Row],[Gross Cost]]/Table1[[#This Row],[Total Conversions]],0)</f>
        <v>2270.8629006666665</v>
      </c>
      <c r="R2" s="10">
        <f>IFERROR(Table1[[#This Row],[Gross Cost]]/(Table1[[#This Row],[Impressions]]/1000),0)</f>
        <v>942.39710914372665</v>
      </c>
      <c r="S2" s="5">
        <f>IFERROR(Table1[[#This Row],[Viewable Impressions]]/Table1[[#This Row],[Measurable Impressions]],0)</f>
        <v>0.83846153846153848</v>
      </c>
      <c r="T2" s="10">
        <f>IFERROR(1000*Table1[[#This Row],[Gross Cost]]/Table1[[#This Row],[Viewable Impressions]],0)</f>
        <v>1201.9387265349328</v>
      </c>
      <c r="U2" s="10"/>
    </row>
    <row r="3" spans="1:21" x14ac:dyDescent="0.2">
      <c r="A3" t="s">
        <v>1027</v>
      </c>
      <c r="B3" t="s">
        <v>14</v>
      </c>
      <c r="C3" t="s">
        <v>41</v>
      </c>
      <c r="D3" t="s">
        <v>28</v>
      </c>
      <c r="E3" t="str">
        <f>TRIM(RIGHT(Table1[[#This Row],[Location]],LEN(Table1[[#This Row],[Location]])-FIND(",",Table1[[#This Row],[Location]])))</f>
        <v>California</v>
      </c>
      <c r="F3" t="s">
        <v>1028</v>
      </c>
      <c r="G3" t="s">
        <v>45</v>
      </c>
      <c r="H3" t="s">
        <v>19</v>
      </c>
      <c r="I3">
        <v>7585</v>
      </c>
      <c r="J3">
        <v>13</v>
      </c>
      <c r="K3">
        <v>5396</v>
      </c>
      <c r="L3">
        <v>7417</v>
      </c>
      <c r="M3">
        <v>24</v>
      </c>
      <c r="N3">
        <v>7082.6538019999998</v>
      </c>
      <c r="O3" s="7">
        <f>IFERROR(Table1[[#This Row],[Clicks]]/Table1[[#This Row],[Impressions]],0)</f>
        <v>1.7139090309822016E-3</v>
      </c>
      <c r="P3" s="5">
        <f>IFERROR(Table1[[#This Row],[Total Conversions]]/Table1[[#This Row],[Clicks]],0)</f>
        <v>1.8461538461538463</v>
      </c>
      <c r="Q3" s="10">
        <f>IFERROR(Table1[[#This Row],[Gross Cost]]/Table1[[#This Row],[Total Conversions]],0)</f>
        <v>295.11057508333334</v>
      </c>
      <c r="R3" s="10">
        <f>IFERROR(Table1[[#This Row],[Gross Cost]]/(Table1[[#This Row],[Impressions]]/1000),0)</f>
        <v>933.77110112063281</v>
      </c>
      <c r="S3" s="5">
        <f>IFERROR(Table1[[#This Row],[Viewable Impressions]]/Table1[[#This Row],[Measurable Impressions]],0)</f>
        <v>0.72751786436564647</v>
      </c>
      <c r="T3" s="10">
        <f>IFERROR(1000*Table1[[#This Row],[Gross Cost]]/Table1[[#This Row],[Viewable Impressions]],0)</f>
        <v>1312.5748335804299</v>
      </c>
      <c r="U3" s="10"/>
    </row>
    <row r="4" spans="1:21" x14ac:dyDescent="0.2">
      <c r="A4" t="s">
        <v>518</v>
      </c>
      <c r="B4" t="s">
        <v>21</v>
      </c>
      <c r="C4" t="s">
        <v>30</v>
      </c>
      <c r="D4" t="s">
        <v>34</v>
      </c>
      <c r="E4" t="str">
        <f>TRIM(RIGHT(Table1[[#This Row],[Location]],LEN(Table1[[#This Row],[Location]])-FIND(",",Table1[[#This Row],[Location]])))</f>
        <v>Illinois</v>
      </c>
      <c r="F4" t="s">
        <v>517</v>
      </c>
      <c r="G4" t="s">
        <v>18</v>
      </c>
      <c r="H4" t="s">
        <v>26</v>
      </c>
      <c r="I4">
        <v>7514</v>
      </c>
      <c r="J4">
        <v>20</v>
      </c>
      <c r="K4">
        <v>2646</v>
      </c>
      <c r="L4">
        <v>3373</v>
      </c>
      <c r="M4">
        <v>3</v>
      </c>
      <c r="N4">
        <v>6756.2951789999997</v>
      </c>
      <c r="O4" s="7">
        <f>IFERROR(Table1[[#This Row],[Clicks]]/Table1[[#This Row],[Impressions]],0)</f>
        <v>2.6616981634282671E-3</v>
      </c>
      <c r="P4" s="5">
        <f>IFERROR(Table1[[#This Row],[Total Conversions]]/Table1[[#This Row],[Clicks]],0)</f>
        <v>0.15</v>
      </c>
      <c r="Q4" s="10">
        <f>IFERROR(Table1[[#This Row],[Gross Cost]]/Table1[[#This Row],[Total Conversions]],0)</f>
        <v>2252.0983929999998</v>
      </c>
      <c r="R4" s="10">
        <f>IFERROR(Table1[[#This Row],[Gross Cost]]/(Table1[[#This Row],[Impressions]]/1000),0)</f>
        <v>899.16092347617769</v>
      </c>
      <c r="S4" s="5">
        <f>IFERROR(Table1[[#This Row],[Viewable Impressions]]/Table1[[#This Row],[Measurable Impressions]],0)</f>
        <v>0.7844648680699674</v>
      </c>
      <c r="T4" s="10">
        <f>IFERROR(1000*Table1[[#This Row],[Gross Cost]]/Table1[[#This Row],[Viewable Impressions]],0)</f>
        <v>2553.3995385487528</v>
      </c>
      <c r="U4" s="10"/>
    </row>
    <row r="5" spans="1:21" x14ac:dyDescent="0.2">
      <c r="A5" t="s">
        <v>220</v>
      </c>
      <c r="B5" t="s">
        <v>14</v>
      </c>
      <c r="C5" t="s">
        <v>22</v>
      </c>
      <c r="D5" t="s">
        <v>83</v>
      </c>
      <c r="E5" t="str">
        <f>TRIM(RIGHT(Table1[[#This Row],[Location]],LEN(Table1[[#This Row],[Location]])-FIND(",",Table1[[#This Row],[Location]])))</f>
        <v>Florida</v>
      </c>
      <c r="F5" t="s">
        <v>221</v>
      </c>
      <c r="G5" t="s">
        <v>18</v>
      </c>
      <c r="H5" t="s">
        <v>26</v>
      </c>
      <c r="I5">
        <v>7628</v>
      </c>
      <c r="J5">
        <v>19</v>
      </c>
      <c r="K5">
        <v>5048</v>
      </c>
      <c r="L5">
        <v>7154</v>
      </c>
      <c r="M5">
        <v>5</v>
      </c>
      <c r="N5">
        <v>6684.0628040000001</v>
      </c>
      <c r="O5" s="7">
        <f>IFERROR(Table1[[#This Row],[Clicks]]/Table1[[#This Row],[Impressions]],0)</f>
        <v>2.4908232826428944E-3</v>
      </c>
      <c r="P5" s="5">
        <f>IFERROR(Table1[[#This Row],[Total Conversions]]/Table1[[#This Row],[Clicks]],0)</f>
        <v>0.26315789473684209</v>
      </c>
      <c r="Q5" s="10">
        <f>IFERROR(Table1[[#This Row],[Gross Cost]]/Table1[[#This Row],[Total Conversions]],0)</f>
        <v>1336.8125608</v>
      </c>
      <c r="R5" s="10">
        <f>IFERROR(Table1[[#This Row],[Gross Cost]]/(Table1[[#This Row],[Impressions]]/1000),0)</f>
        <v>876.25364499213424</v>
      </c>
      <c r="S5" s="5">
        <f>IFERROR(Table1[[#This Row],[Viewable Impressions]]/Table1[[#This Row],[Measurable Impressions]],0)</f>
        <v>0.70561923399496784</v>
      </c>
      <c r="T5" s="10">
        <f>IFERROR(1000*Table1[[#This Row],[Gross Cost]]/Table1[[#This Row],[Viewable Impressions]],0)</f>
        <v>1324.1011893819336</v>
      </c>
      <c r="U5" s="10"/>
    </row>
    <row r="6" spans="1:21" x14ac:dyDescent="0.2">
      <c r="A6" t="s">
        <v>676</v>
      </c>
      <c r="B6" t="s">
        <v>14</v>
      </c>
      <c r="C6" t="s">
        <v>41</v>
      </c>
      <c r="D6" t="s">
        <v>182</v>
      </c>
      <c r="E6" t="str">
        <f>TRIM(RIGHT(Table1[[#This Row],[Location]],LEN(Table1[[#This Row],[Location]])-FIND(",",Table1[[#This Row],[Location]])))</f>
        <v>Tennessee</v>
      </c>
      <c r="F6" t="s">
        <v>677</v>
      </c>
      <c r="G6" t="s">
        <v>18</v>
      </c>
      <c r="H6" t="s">
        <v>19</v>
      </c>
      <c r="I6">
        <v>7695</v>
      </c>
      <c r="J6">
        <v>20</v>
      </c>
      <c r="K6">
        <v>3481</v>
      </c>
      <c r="L6">
        <v>7050</v>
      </c>
      <c r="M6">
        <v>14</v>
      </c>
      <c r="N6">
        <v>6727.4404990000003</v>
      </c>
      <c r="O6" s="7">
        <f>IFERROR(Table1[[#This Row],[Clicks]]/Table1[[#This Row],[Impressions]],0)</f>
        <v>2.5990903183885639E-3</v>
      </c>
      <c r="P6" s="5">
        <f>IFERROR(Table1[[#This Row],[Total Conversions]]/Table1[[#This Row],[Clicks]],0)</f>
        <v>0.7</v>
      </c>
      <c r="Q6" s="10">
        <f>IFERROR(Table1[[#This Row],[Gross Cost]]/Table1[[#This Row],[Total Conversions]],0)</f>
        <v>480.53146421428573</v>
      </c>
      <c r="R6" s="10">
        <f>IFERROR(Table1[[#This Row],[Gross Cost]]/(Table1[[#This Row],[Impressions]]/1000),0)</f>
        <v>874.26127342430152</v>
      </c>
      <c r="S6" s="5">
        <f>IFERROR(Table1[[#This Row],[Viewable Impressions]]/Table1[[#This Row],[Measurable Impressions]],0)</f>
        <v>0.49375886524822693</v>
      </c>
      <c r="T6" s="10">
        <f>IFERROR(1000*Table1[[#This Row],[Gross Cost]]/Table1[[#This Row],[Viewable Impressions]],0)</f>
        <v>1932.6172074116632</v>
      </c>
      <c r="U6" s="10"/>
    </row>
    <row r="7" spans="1:21" x14ac:dyDescent="0.2">
      <c r="A7" t="s">
        <v>513</v>
      </c>
      <c r="B7" t="s">
        <v>60</v>
      </c>
      <c r="C7" t="s">
        <v>30</v>
      </c>
      <c r="D7" t="s">
        <v>34</v>
      </c>
      <c r="E7" t="str">
        <f>TRIM(RIGHT(Table1[[#This Row],[Location]],LEN(Table1[[#This Row],[Location]])-FIND(",",Table1[[#This Row],[Location]])))</f>
        <v>Illinois</v>
      </c>
      <c r="F7" t="s">
        <v>514</v>
      </c>
      <c r="G7" t="s">
        <v>18</v>
      </c>
      <c r="H7" t="s">
        <v>26</v>
      </c>
      <c r="I7">
        <v>7822</v>
      </c>
      <c r="J7">
        <v>25</v>
      </c>
      <c r="K7">
        <v>3786</v>
      </c>
      <c r="L7">
        <v>7232</v>
      </c>
      <c r="M7">
        <v>13</v>
      </c>
      <c r="N7">
        <v>6781.8216469999998</v>
      </c>
      <c r="O7" s="7">
        <f>IFERROR(Table1[[#This Row],[Clicks]]/Table1[[#This Row],[Impressions]],0)</f>
        <v>3.1961135259524417E-3</v>
      </c>
      <c r="P7" s="5">
        <f>IFERROR(Table1[[#This Row],[Total Conversions]]/Table1[[#This Row],[Clicks]],0)</f>
        <v>0.52</v>
      </c>
      <c r="Q7" s="10">
        <f>IFERROR(Table1[[#This Row],[Gross Cost]]/Table1[[#This Row],[Total Conversions]],0)</f>
        <v>521.67858823076926</v>
      </c>
      <c r="R7" s="10">
        <f>IFERROR(Table1[[#This Row],[Gross Cost]]/(Table1[[#This Row],[Impressions]]/1000),0)</f>
        <v>867.01887586295061</v>
      </c>
      <c r="S7" s="5">
        <f>IFERROR(Table1[[#This Row],[Viewable Impressions]]/Table1[[#This Row],[Measurable Impressions]],0)</f>
        <v>0.52350663716814161</v>
      </c>
      <c r="T7" s="10">
        <f>IFERROR(1000*Table1[[#This Row],[Gross Cost]]/Table1[[#This Row],[Viewable Impressions]],0)</f>
        <v>1791.2893943475963</v>
      </c>
      <c r="U7" s="10"/>
    </row>
    <row r="8" spans="1:21" x14ac:dyDescent="0.2">
      <c r="A8" t="s">
        <v>721</v>
      </c>
      <c r="B8" t="s">
        <v>14</v>
      </c>
      <c r="C8" t="s">
        <v>41</v>
      </c>
      <c r="D8" t="s">
        <v>54</v>
      </c>
      <c r="E8" t="str">
        <f>TRIM(RIGHT(Table1[[#This Row],[Location]],LEN(Table1[[#This Row],[Location]])-FIND(",",Table1[[#This Row],[Location]])))</f>
        <v>Florida</v>
      </c>
      <c r="F8" t="s">
        <v>722</v>
      </c>
      <c r="G8" t="s">
        <v>47</v>
      </c>
      <c r="H8" t="s">
        <v>26</v>
      </c>
      <c r="I8">
        <v>8187</v>
      </c>
      <c r="J8">
        <v>20</v>
      </c>
      <c r="K8">
        <v>4888</v>
      </c>
      <c r="L8">
        <v>7510</v>
      </c>
      <c r="M8">
        <v>3</v>
      </c>
      <c r="N8">
        <v>6980.2293040000004</v>
      </c>
      <c r="O8" s="7">
        <f>IFERROR(Table1[[#This Row],[Clicks]]/Table1[[#This Row],[Impressions]],0)</f>
        <v>2.4428972761695372E-3</v>
      </c>
      <c r="P8" s="5">
        <f>IFERROR(Table1[[#This Row],[Total Conversions]]/Table1[[#This Row],[Clicks]],0)</f>
        <v>0.15</v>
      </c>
      <c r="Q8" s="10">
        <f>IFERROR(Table1[[#This Row],[Gross Cost]]/Table1[[#This Row],[Total Conversions]],0)</f>
        <v>2326.7431013333335</v>
      </c>
      <c r="R8" s="10">
        <f>IFERROR(Table1[[#This Row],[Gross Cost]]/(Table1[[#This Row],[Impressions]]/1000),0)</f>
        <v>852.59915768901931</v>
      </c>
      <c r="S8" s="5">
        <f>IFERROR(Table1[[#This Row],[Viewable Impressions]]/Table1[[#This Row],[Measurable Impressions]],0)</f>
        <v>0.6508655126498003</v>
      </c>
      <c r="T8" s="10">
        <f>IFERROR(1000*Table1[[#This Row],[Gross Cost]]/Table1[[#This Row],[Viewable Impressions]],0)</f>
        <v>1428.0338183306058</v>
      </c>
      <c r="U8" s="10"/>
    </row>
    <row r="9" spans="1:21" x14ac:dyDescent="0.2">
      <c r="A9" t="s">
        <v>484</v>
      </c>
      <c r="B9" t="s">
        <v>21</v>
      </c>
      <c r="C9" t="s">
        <v>30</v>
      </c>
      <c r="D9" t="s">
        <v>83</v>
      </c>
      <c r="E9" t="str">
        <f>TRIM(RIGHT(Table1[[#This Row],[Location]],LEN(Table1[[#This Row],[Location]])-FIND(",",Table1[[#This Row],[Location]])))</f>
        <v>Florida</v>
      </c>
      <c r="F9" t="s">
        <v>485</v>
      </c>
      <c r="G9" t="s">
        <v>18</v>
      </c>
      <c r="H9" t="s">
        <v>26</v>
      </c>
      <c r="I9">
        <v>7687</v>
      </c>
      <c r="J9">
        <v>10</v>
      </c>
      <c r="K9">
        <v>5311</v>
      </c>
      <c r="L9">
        <v>7266</v>
      </c>
      <c r="M9">
        <v>6</v>
      </c>
      <c r="N9">
        <v>6486.8539090000004</v>
      </c>
      <c r="O9" s="7">
        <f>IFERROR(Table1[[#This Row],[Clicks]]/Table1[[#This Row],[Impressions]],0)</f>
        <v>1.3008976193573565E-3</v>
      </c>
      <c r="P9" s="5">
        <f>IFERROR(Table1[[#This Row],[Total Conversions]]/Table1[[#This Row],[Clicks]],0)</f>
        <v>0.6</v>
      </c>
      <c r="Q9" s="10">
        <f>IFERROR(Table1[[#This Row],[Gross Cost]]/Table1[[#This Row],[Total Conversions]],0)</f>
        <v>1081.1423181666667</v>
      </c>
      <c r="R9" s="10">
        <f>IFERROR(Table1[[#This Row],[Gross Cost]]/(Table1[[#This Row],[Impressions]]/1000),0)</f>
        <v>843.87328073370622</v>
      </c>
      <c r="S9" s="5">
        <f>IFERROR(Table1[[#This Row],[Viewable Impressions]]/Table1[[#This Row],[Measurable Impressions]],0)</f>
        <v>0.73093861822185524</v>
      </c>
      <c r="T9" s="10">
        <f>IFERROR(1000*Table1[[#This Row],[Gross Cost]]/Table1[[#This Row],[Viewable Impressions]],0)</f>
        <v>1221.3997192619092</v>
      </c>
      <c r="U9" s="10"/>
    </row>
    <row r="10" spans="1:21" x14ac:dyDescent="0.2">
      <c r="A10" t="s">
        <v>853</v>
      </c>
      <c r="B10" t="s">
        <v>14</v>
      </c>
      <c r="C10" t="s">
        <v>15</v>
      </c>
      <c r="D10" t="s">
        <v>34</v>
      </c>
      <c r="E10" t="str">
        <f>TRIM(RIGHT(Table1[[#This Row],[Location]],LEN(Table1[[#This Row],[Location]])-FIND(",",Table1[[#This Row],[Location]])))</f>
        <v>Illinois</v>
      </c>
      <c r="F10" t="s">
        <v>854</v>
      </c>
      <c r="G10" t="s">
        <v>45</v>
      </c>
      <c r="H10" t="s">
        <v>26</v>
      </c>
      <c r="I10">
        <v>8362</v>
      </c>
      <c r="J10">
        <v>31</v>
      </c>
      <c r="K10">
        <v>5959</v>
      </c>
      <c r="L10">
        <v>7947</v>
      </c>
      <c r="M10">
        <v>7</v>
      </c>
      <c r="N10">
        <v>6997.4689630000003</v>
      </c>
      <c r="O10" s="7">
        <f>IFERROR(Table1[[#This Row],[Clicks]]/Table1[[#This Row],[Impressions]],0)</f>
        <v>3.7072470700789287E-3</v>
      </c>
      <c r="P10" s="5">
        <f>IFERROR(Table1[[#This Row],[Total Conversions]]/Table1[[#This Row],[Clicks]],0)</f>
        <v>0.22580645161290322</v>
      </c>
      <c r="Q10" s="10">
        <f>IFERROR(Table1[[#This Row],[Gross Cost]]/Table1[[#This Row],[Total Conversions]],0)</f>
        <v>999.63842328571434</v>
      </c>
      <c r="R10" s="10">
        <f>IFERROR(Table1[[#This Row],[Gross Cost]]/(Table1[[#This Row],[Impressions]]/1000),0)</f>
        <v>836.81762293709642</v>
      </c>
      <c r="S10" s="5">
        <f>IFERROR(Table1[[#This Row],[Viewable Impressions]]/Table1[[#This Row],[Measurable Impressions]],0)</f>
        <v>0.74984270794010321</v>
      </c>
      <c r="T10" s="10">
        <f>IFERROR(1000*Table1[[#This Row],[Gross Cost]]/Table1[[#This Row],[Viewable Impressions]],0)</f>
        <v>1174.2689986574931</v>
      </c>
      <c r="U10" s="10"/>
    </row>
    <row r="11" spans="1:21" x14ac:dyDescent="0.2">
      <c r="A11" t="s">
        <v>27</v>
      </c>
      <c r="B11" t="s">
        <v>14</v>
      </c>
      <c r="C11" t="s">
        <v>15</v>
      </c>
      <c r="D11" t="s">
        <v>28</v>
      </c>
      <c r="E11" t="str">
        <f>TRIM(RIGHT(Table1[[#This Row],[Location]],LEN(Table1[[#This Row],[Location]])-FIND(",",Table1[[#This Row],[Location]])))</f>
        <v>California</v>
      </c>
      <c r="F11" t="s">
        <v>24</v>
      </c>
      <c r="G11" t="s">
        <v>18</v>
      </c>
      <c r="H11" t="s">
        <v>26</v>
      </c>
      <c r="I11">
        <v>7862</v>
      </c>
      <c r="J11">
        <v>20</v>
      </c>
      <c r="K11">
        <v>2152</v>
      </c>
      <c r="L11">
        <v>6039</v>
      </c>
      <c r="M11">
        <v>2</v>
      </c>
      <c r="N11">
        <v>6506.4336869999997</v>
      </c>
      <c r="O11" s="7">
        <f>IFERROR(Table1[[#This Row],[Clicks]]/Table1[[#This Row],[Impressions]],0)</f>
        <v>2.5438819638768763E-3</v>
      </c>
      <c r="P11" s="5">
        <f>IFERROR(Table1[[#This Row],[Total Conversions]]/Table1[[#This Row],[Clicks]],0)</f>
        <v>0.1</v>
      </c>
      <c r="Q11" s="10">
        <f>IFERROR(Table1[[#This Row],[Gross Cost]]/Table1[[#This Row],[Total Conversions]],0)</f>
        <v>3253.2168434999999</v>
      </c>
      <c r="R11" s="10">
        <f>IFERROR(Table1[[#This Row],[Gross Cost]]/(Table1[[#This Row],[Impressions]]/1000),0)</f>
        <v>827.57996527601119</v>
      </c>
      <c r="S11" s="5">
        <f>IFERROR(Table1[[#This Row],[Viewable Impressions]]/Table1[[#This Row],[Measurable Impressions]],0)</f>
        <v>0.3563503891372744</v>
      </c>
      <c r="T11" s="10">
        <f>IFERROR(1000*Table1[[#This Row],[Gross Cost]]/Table1[[#This Row],[Viewable Impressions]],0)</f>
        <v>3023.4357281598514</v>
      </c>
      <c r="U11" s="10"/>
    </row>
    <row r="12" spans="1:21" x14ac:dyDescent="0.2">
      <c r="A12" t="s">
        <v>598</v>
      </c>
      <c r="B12" t="s">
        <v>14</v>
      </c>
      <c r="C12" t="s">
        <v>15</v>
      </c>
      <c r="D12" t="s">
        <v>44</v>
      </c>
      <c r="E12" t="str">
        <f>TRIM(RIGHT(Table1[[#This Row],[Location]],LEN(Table1[[#This Row],[Location]])-FIND(",",Table1[[#This Row],[Location]])))</f>
        <v>Florida</v>
      </c>
      <c r="F12" t="s">
        <v>597</v>
      </c>
      <c r="G12" t="s">
        <v>18</v>
      </c>
      <c r="H12" t="s">
        <v>26</v>
      </c>
      <c r="I12">
        <v>7789</v>
      </c>
      <c r="J12">
        <v>30</v>
      </c>
      <c r="K12">
        <v>4655</v>
      </c>
      <c r="L12">
        <v>7434</v>
      </c>
      <c r="M12">
        <v>1</v>
      </c>
      <c r="N12">
        <v>6396.8687630000004</v>
      </c>
      <c r="O12" s="7">
        <f>IFERROR(Table1[[#This Row],[Clicks]]/Table1[[#This Row],[Impressions]],0)</f>
        <v>3.8515855693927333E-3</v>
      </c>
      <c r="P12" s="5">
        <f>IFERROR(Table1[[#This Row],[Total Conversions]]/Table1[[#This Row],[Clicks]],0)</f>
        <v>3.3333333333333333E-2</v>
      </c>
      <c r="Q12" s="10">
        <f>IFERROR(Table1[[#This Row],[Gross Cost]]/Table1[[#This Row],[Total Conversions]],0)</f>
        <v>6396.8687630000004</v>
      </c>
      <c r="R12" s="10">
        <f>IFERROR(Table1[[#This Row],[Gross Cost]]/(Table1[[#This Row],[Impressions]]/1000),0)</f>
        <v>821.26958056233161</v>
      </c>
      <c r="S12" s="5">
        <f>IFERROR(Table1[[#This Row],[Viewable Impressions]]/Table1[[#This Row],[Measurable Impressions]],0)</f>
        <v>0.62617702448210921</v>
      </c>
      <c r="T12" s="10">
        <f>IFERROR(1000*Table1[[#This Row],[Gross Cost]]/Table1[[#This Row],[Viewable Impressions]],0)</f>
        <v>1374.1930747583244</v>
      </c>
      <c r="U12" s="10"/>
    </row>
    <row r="13" spans="1:21" x14ac:dyDescent="0.2">
      <c r="A13" t="s">
        <v>810</v>
      </c>
      <c r="B13" t="s">
        <v>14</v>
      </c>
      <c r="C13" t="s">
        <v>22</v>
      </c>
      <c r="D13" t="s">
        <v>16</v>
      </c>
      <c r="E13" t="str">
        <f>TRIM(RIGHT(Table1[[#This Row],[Location]],LEN(Table1[[#This Row],[Location]])-FIND(",",Table1[[#This Row],[Location]])))</f>
        <v>California</v>
      </c>
      <c r="F13" t="s">
        <v>811</v>
      </c>
      <c r="G13" t="s">
        <v>35</v>
      </c>
      <c r="H13" t="s">
        <v>19</v>
      </c>
      <c r="I13">
        <v>7965</v>
      </c>
      <c r="J13">
        <v>50</v>
      </c>
      <c r="K13">
        <v>5230</v>
      </c>
      <c r="L13">
        <v>6923</v>
      </c>
      <c r="M13">
        <v>10</v>
      </c>
      <c r="N13">
        <v>6298.5139289999997</v>
      </c>
      <c r="O13" s="7">
        <f>IFERROR(Table1[[#This Row],[Clicks]]/Table1[[#This Row],[Impressions]],0)</f>
        <v>6.2774639045825482E-3</v>
      </c>
      <c r="P13" s="5">
        <f>IFERROR(Table1[[#This Row],[Total Conversions]]/Table1[[#This Row],[Clicks]],0)</f>
        <v>0.2</v>
      </c>
      <c r="Q13" s="10">
        <f>IFERROR(Table1[[#This Row],[Gross Cost]]/Table1[[#This Row],[Total Conversions]],0)</f>
        <v>629.85139289999995</v>
      </c>
      <c r="R13" s="10">
        <f>IFERROR(Table1[[#This Row],[Gross Cost]]/(Table1[[#This Row],[Impressions]]/1000),0)</f>
        <v>790.77387683615814</v>
      </c>
      <c r="S13" s="5">
        <f>IFERROR(Table1[[#This Row],[Viewable Impressions]]/Table1[[#This Row],[Measurable Impressions]],0)</f>
        <v>0.75545283836487076</v>
      </c>
      <c r="T13" s="10">
        <f>IFERROR(1000*Table1[[#This Row],[Gross Cost]]/Table1[[#This Row],[Viewable Impressions]],0)</f>
        <v>1204.3047665391969</v>
      </c>
      <c r="U13" s="10"/>
    </row>
    <row r="14" spans="1:21" x14ac:dyDescent="0.2">
      <c r="A14" t="s">
        <v>222</v>
      </c>
      <c r="B14" t="s">
        <v>21</v>
      </c>
      <c r="C14" t="s">
        <v>15</v>
      </c>
      <c r="D14" t="s">
        <v>77</v>
      </c>
      <c r="E14" t="str">
        <f>TRIM(RIGHT(Table1[[#This Row],[Location]],LEN(Table1[[#This Row],[Location]])-FIND(",",Table1[[#This Row],[Location]])))</f>
        <v>New York</v>
      </c>
      <c r="F14" t="s">
        <v>223</v>
      </c>
      <c r="G14" t="s">
        <v>18</v>
      </c>
      <c r="H14" t="s">
        <v>26</v>
      </c>
      <c r="I14">
        <v>7806</v>
      </c>
      <c r="J14">
        <v>20</v>
      </c>
      <c r="K14">
        <v>3150</v>
      </c>
      <c r="L14">
        <v>7247</v>
      </c>
      <c r="M14">
        <v>1</v>
      </c>
      <c r="N14">
        <v>6162.3208329999998</v>
      </c>
      <c r="O14" s="7">
        <f>IFERROR(Table1[[#This Row],[Clicks]]/Table1[[#This Row],[Impressions]],0)</f>
        <v>2.5621316935690495E-3</v>
      </c>
      <c r="P14" s="5">
        <f>IFERROR(Table1[[#This Row],[Total Conversions]]/Table1[[#This Row],[Clicks]],0)</f>
        <v>0.05</v>
      </c>
      <c r="Q14" s="10">
        <f>IFERROR(Table1[[#This Row],[Gross Cost]]/Table1[[#This Row],[Total Conversions]],0)</f>
        <v>6162.3208329999998</v>
      </c>
      <c r="R14" s="10">
        <f>IFERROR(Table1[[#This Row],[Gross Cost]]/(Table1[[#This Row],[Impressions]]/1000),0)</f>
        <v>789.43387560850624</v>
      </c>
      <c r="S14" s="5">
        <f>IFERROR(Table1[[#This Row],[Viewable Impressions]]/Table1[[#This Row],[Measurable Impressions]],0)</f>
        <v>0.43466261901476472</v>
      </c>
      <c r="T14" s="10">
        <f>IFERROR(1000*Table1[[#This Row],[Gross Cost]]/Table1[[#This Row],[Viewable Impressions]],0)</f>
        <v>1956.2923279365077</v>
      </c>
      <c r="U14" s="10"/>
    </row>
    <row r="15" spans="1:21" x14ac:dyDescent="0.2">
      <c r="A15" t="s">
        <v>888</v>
      </c>
      <c r="B15" t="s">
        <v>14</v>
      </c>
      <c r="C15" t="s">
        <v>15</v>
      </c>
      <c r="D15" t="s">
        <v>77</v>
      </c>
      <c r="E15" t="str">
        <f>TRIM(RIGHT(Table1[[#This Row],[Location]],LEN(Table1[[#This Row],[Location]])-FIND(",",Table1[[#This Row],[Location]])))</f>
        <v>New York</v>
      </c>
      <c r="F15" t="s">
        <v>889</v>
      </c>
      <c r="G15" t="s">
        <v>25</v>
      </c>
      <c r="H15" t="s">
        <v>26</v>
      </c>
      <c r="I15">
        <v>9362</v>
      </c>
      <c r="J15">
        <v>39</v>
      </c>
      <c r="K15">
        <v>5202</v>
      </c>
      <c r="L15">
        <v>8928</v>
      </c>
      <c r="M15">
        <v>6</v>
      </c>
      <c r="N15">
        <v>7312.492757</v>
      </c>
      <c r="O15" s="7">
        <f>IFERROR(Table1[[#This Row],[Clicks]]/Table1[[#This Row],[Impressions]],0)</f>
        <v>4.1657765434736172E-3</v>
      </c>
      <c r="P15" s="5">
        <f>IFERROR(Table1[[#This Row],[Total Conversions]]/Table1[[#This Row],[Clicks]],0)</f>
        <v>0.15384615384615385</v>
      </c>
      <c r="Q15" s="10">
        <f>IFERROR(Table1[[#This Row],[Gross Cost]]/Table1[[#This Row],[Total Conversions]],0)</f>
        <v>1218.7487928333333</v>
      </c>
      <c r="R15" s="10">
        <f>IFERROR(Table1[[#This Row],[Gross Cost]]/(Table1[[#This Row],[Impressions]]/1000),0)</f>
        <v>781.08232824182869</v>
      </c>
      <c r="S15" s="5">
        <f>IFERROR(Table1[[#This Row],[Viewable Impressions]]/Table1[[#This Row],[Measurable Impressions]],0)</f>
        <v>0.58266129032258063</v>
      </c>
      <c r="T15" s="10">
        <f>IFERROR(1000*Table1[[#This Row],[Gross Cost]]/Table1[[#This Row],[Viewable Impressions]],0)</f>
        <v>1405.7079502114573</v>
      </c>
      <c r="U15" s="10"/>
    </row>
    <row r="16" spans="1:21" x14ac:dyDescent="0.2">
      <c r="A16" t="s">
        <v>500</v>
      </c>
      <c r="B16" t="s">
        <v>21</v>
      </c>
      <c r="C16" t="s">
        <v>41</v>
      </c>
      <c r="D16" t="s">
        <v>239</v>
      </c>
      <c r="E16" t="str">
        <f>TRIM(RIGHT(Table1[[#This Row],[Location]],LEN(Table1[[#This Row],[Location]])-FIND(",",Table1[[#This Row],[Location]])))</f>
        <v>Tennessee</v>
      </c>
      <c r="F16" t="s">
        <v>501</v>
      </c>
      <c r="G16" t="s">
        <v>47</v>
      </c>
      <c r="H16" t="s">
        <v>26</v>
      </c>
      <c r="I16">
        <v>8233</v>
      </c>
      <c r="J16">
        <v>65</v>
      </c>
      <c r="K16">
        <v>5361</v>
      </c>
      <c r="L16">
        <v>7643</v>
      </c>
      <c r="M16">
        <v>4</v>
      </c>
      <c r="N16">
        <v>6381.0065759999998</v>
      </c>
      <c r="O16" s="7">
        <f>IFERROR(Table1[[#This Row],[Clicks]]/Table1[[#This Row],[Impressions]],0)</f>
        <v>7.8950564800194332E-3</v>
      </c>
      <c r="P16" s="5">
        <f>IFERROR(Table1[[#This Row],[Total Conversions]]/Table1[[#This Row],[Clicks]],0)</f>
        <v>6.1538461538461542E-2</v>
      </c>
      <c r="Q16" s="10">
        <f>IFERROR(Table1[[#This Row],[Gross Cost]]/Table1[[#This Row],[Total Conversions]],0)</f>
        <v>1595.2516439999999</v>
      </c>
      <c r="R16" s="10">
        <f>IFERROR(Table1[[#This Row],[Gross Cost]]/(Table1[[#This Row],[Impressions]]/1000),0)</f>
        <v>775.05242025992948</v>
      </c>
      <c r="S16" s="5">
        <f>IFERROR(Table1[[#This Row],[Viewable Impressions]]/Table1[[#This Row],[Measurable Impressions]],0)</f>
        <v>0.70142614156744731</v>
      </c>
      <c r="T16" s="10">
        <f>IFERROR(1000*Table1[[#This Row],[Gross Cost]]/Table1[[#This Row],[Viewable Impressions]],0)</f>
        <v>1190.2642372691662</v>
      </c>
      <c r="U16" s="10"/>
    </row>
    <row r="17" spans="1:21" x14ac:dyDescent="0.2">
      <c r="A17" t="s">
        <v>851</v>
      </c>
      <c r="B17" t="s">
        <v>14</v>
      </c>
      <c r="C17" t="s">
        <v>22</v>
      </c>
      <c r="D17" t="s">
        <v>34</v>
      </c>
      <c r="E17" t="str">
        <f>TRIM(RIGHT(Table1[[#This Row],[Location]],LEN(Table1[[#This Row],[Location]])-FIND(",",Table1[[#This Row],[Location]])))</f>
        <v>Illinois</v>
      </c>
      <c r="F17" t="s">
        <v>852</v>
      </c>
      <c r="G17" t="s">
        <v>45</v>
      </c>
      <c r="H17" t="s">
        <v>26</v>
      </c>
      <c r="I17">
        <v>7691</v>
      </c>
      <c r="J17">
        <v>0</v>
      </c>
      <c r="K17">
        <v>3890</v>
      </c>
      <c r="L17">
        <v>5905</v>
      </c>
      <c r="M17">
        <v>1</v>
      </c>
      <c r="N17">
        <v>5927.8067879999999</v>
      </c>
      <c r="O17" s="7">
        <f>IFERROR(Table1[[#This Row],[Clicks]]/Table1[[#This Row],[Impressions]],0)</f>
        <v>0</v>
      </c>
      <c r="P17" s="5">
        <f>IFERROR(Table1[[#This Row],[Total Conversions]]/Table1[[#This Row],[Clicks]],0)</f>
        <v>0</v>
      </c>
      <c r="Q17" s="10">
        <f>IFERROR(Table1[[#This Row],[Gross Cost]]/Table1[[#This Row],[Total Conversions]],0)</f>
        <v>5927.8067879999999</v>
      </c>
      <c r="R17" s="10">
        <f>IFERROR(Table1[[#This Row],[Gross Cost]]/(Table1[[#This Row],[Impressions]]/1000),0)</f>
        <v>770.74590924457152</v>
      </c>
      <c r="S17" s="5">
        <f>IFERROR(Table1[[#This Row],[Viewable Impressions]]/Table1[[#This Row],[Measurable Impressions]],0)</f>
        <v>0.65876375952582555</v>
      </c>
      <c r="T17" s="10">
        <f>IFERROR(1000*Table1[[#This Row],[Gross Cost]]/Table1[[#This Row],[Viewable Impressions]],0)</f>
        <v>1523.8577861182519</v>
      </c>
      <c r="U17" s="10"/>
    </row>
    <row r="18" spans="1:21" x14ac:dyDescent="0.2">
      <c r="A18" t="s">
        <v>679</v>
      </c>
      <c r="B18" t="s">
        <v>14</v>
      </c>
      <c r="C18" t="s">
        <v>15</v>
      </c>
      <c r="D18" t="s">
        <v>38</v>
      </c>
      <c r="E18" t="str">
        <f>TRIM(RIGHT(Table1[[#This Row],[Location]],LEN(Table1[[#This Row],[Location]])-FIND(",",Table1[[#This Row],[Location]])))</f>
        <v>Tennessee</v>
      </c>
      <c r="F18" t="s">
        <v>680</v>
      </c>
      <c r="G18" t="s">
        <v>49</v>
      </c>
      <c r="H18" t="s">
        <v>26</v>
      </c>
      <c r="I18">
        <v>8000</v>
      </c>
      <c r="J18">
        <v>10</v>
      </c>
      <c r="K18">
        <v>4400</v>
      </c>
      <c r="L18">
        <v>6379</v>
      </c>
      <c r="M18">
        <v>1</v>
      </c>
      <c r="N18">
        <v>6159.3669019999998</v>
      </c>
      <c r="O18" s="7">
        <f>IFERROR(Table1[[#This Row],[Clicks]]/Table1[[#This Row],[Impressions]],0)</f>
        <v>1.25E-3</v>
      </c>
      <c r="P18" s="5">
        <f>IFERROR(Table1[[#This Row],[Total Conversions]]/Table1[[#This Row],[Clicks]],0)</f>
        <v>0.1</v>
      </c>
      <c r="Q18" s="10">
        <f>IFERROR(Table1[[#This Row],[Gross Cost]]/Table1[[#This Row],[Total Conversions]],0)</f>
        <v>6159.3669019999998</v>
      </c>
      <c r="R18" s="10">
        <f>IFERROR(Table1[[#This Row],[Gross Cost]]/(Table1[[#This Row],[Impressions]]/1000),0)</f>
        <v>769.92086274999997</v>
      </c>
      <c r="S18" s="5">
        <f>IFERROR(Table1[[#This Row],[Viewable Impressions]]/Table1[[#This Row],[Measurable Impressions]],0)</f>
        <v>0.6897632857814705</v>
      </c>
      <c r="T18" s="10">
        <f>IFERROR(1000*Table1[[#This Row],[Gross Cost]]/Table1[[#This Row],[Viewable Impressions]],0)</f>
        <v>1399.8561140909089</v>
      </c>
      <c r="U18" s="10"/>
    </row>
    <row r="19" spans="1:21" x14ac:dyDescent="0.2">
      <c r="A19" t="s">
        <v>738</v>
      </c>
      <c r="B19" t="s">
        <v>14</v>
      </c>
      <c r="C19" t="s">
        <v>41</v>
      </c>
      <c r="D19" t="s">
        <v>54</v>
      </c>
      <c r="E19" t="str">
        <f>TRIM(RIGHT(Table1[[#This Row],[Location]],LEN(Table1[[#This Row],[Location]])-FIND(",",Table1[[#This Row],[Location]])))</f>
        <v>Florida</v>
      </c>
      <c r="F19" t="s">
        <v>739</v>
      </c>
      <c r="G19" t="s">
        <v>18</v>
      </c>
      <c r="H19" t="s">
        <v>26</v>
      </c>
      <c r="I19">
        <v>8097</v>
      </c>
      <c r="J19">
        <v>20</v>
      </c>
      <c r="K19">
        <v>4942</v>
      </c>
      <c r="L19">
        <v>6868</v>
      </c>
      <c r="M19">
        <v>1</v>
      </c>
      <c r="N19">
        <v>6177.4645449999998</v>
      </c>
      <c r="O19" s="7">
        <f>IFERROR(Table1[[#This Row],[Clicks]]/Table1[[#This Row],[Impressions]],0)</f>
        <v>2.4700506360380388E-3</v>
      </c>
      <c r="P19" s="5">
        <f>IFERROR(Table1[[#This Row],[Total Conversions]]/Table1[[#This Row],[Clicks]],0)</f>
        <v>0.05</v>
      </c>
      <c r="Q19" s="10">
        <f>IFERROR(Table1[[#This Row],[Gross Cost]]/Table1[[#This Row],[Total Conversions]],0)</f>
        <v>6177.4645449999998</v>
      </c>
      <c r="R19" s="10">
        <f>IFERROR(Table1[[#This Row],[Gross Cost]]/(Table1[[#This Row],[Impressions]]/1000),0)</f>
        <v>762.93251142398424</v>
      </c>
      <c r="S19" s="5">
        <f>IFERROR(Table1[[#This Row],[Viewable Impressions]]/Table1[[#This Row],[Measurable Impressions]],0)</f>
        <v>0.7195690157251019</v>
      </c>
      <c r="T19" s="10">
        <f>IFERROR(1000*Table1[[#This Row],[Gross Cost]]/Table1[[#This Row],[Viewable Impressions]],0)</f>
        <v>1249.9928257790368</v>
      </c>
      <c r="U19" s="10"/>
    </row>
    <row r="20" spans="1:21" x14ac:dyDescent="0.2">
      <c r="A20" t="s">
        <v>156</v>
      </c>
      <c r="B20" t="s">
        <v>21</v>
      </c>
      <c r="C20" t="s">
        <v>15</v>
      </c>
      <c r="D20" t="s">
        <v>54</v>
      </c>
      <c r="E20" t="str">
        <f>TRIM(RIGHT(Table1[[#This Row],[Location]],LEN(Table1[[#This Row],[Location]])-FIND(",",Table1[[#This Row],[Location]])))</f>
        <v>Florida</v>
      </c>
      <c r="F20" t="s">
        <v>157</v>
      </c>
      <c r="G20" t="s">
        <v>18</v>
      </c>
      <c r="H20" t="s">
        <v>26</v>
      </c>
      <c r="I20">
        <v>8068</v>
      </c>
      <c r="J20">
        <v>10</v>
      </c>
      <c r="K20">
        <v>5545</v>
      </c>
      <c r="L20">
        <v>7554</v>
      </c>
      <c r="M20">
        <v>1</v>
      </c>
      <c r="N20">
        <v>5995.0410019999999</v>
      </c>
      <c r="O20" s="7">
        <f>IFERROR(Table1[[#This Row],[Clicks]]/Table1[[#This Row],[Impressions]],0)</f>
        <v>1.2394645513138325E-3</v>
      </c>
      <c r="P20" s="5">
        <f>IFERROR(Table1[[#This Row],[Total Conversions]]/Table1[[#This Row],[Clicks]],0)</f>
        <v>0.1</v>
      </c>
      <c r="Q20" s="10">
        <f>IFERROR(Table1[[#This Row],[Gross Cost]]/Table1[[#This Row],[Total Conversions]],0)</f>
        <v>5995.0410019999999</v>
      </c>
      <c r="R20" s="10">
        <f>IFERROR(Table1[[#This Row],[Gross Cost]]/(Table1[[#This Row],[Impressions]]/1000),0)</f>
        <v>743.06408056519581</v>
      </c>
      <c r="S20" s="5">
        <f>IFERROR(Table1[[#This Row],[Viewable Impressions]]/Table1[[#This Row],[Measurable Impressions]],0)</f>
        <v>0.73404818639131586</v>
      </c>
      <c r="T20" s="10">
        <f>IFERROR(1000*Table1[[#This Row],[Gross Cost]]/Table1[[#This Row],[Viewable Impressions]],0)</f>
        <v>1081.1615873760145</v>
      </c>
      <c r="U20" s="10"/>
    </row>
    <row r="21" spans="1:21" x14ac:dyDescent="0.2">
      <c r="A21" t="s">
        <v>236</v>
      </c>
      <c r="B21" t="s">
        <v>14</v>
      </c>
      <c r="C21" t="s">
        <v>22</v>
      </c>
      <c r="D21" t="s">
        <v>34</v>
      </c>
      <c r="E21" t="str">
        <f>TRIM(RIGHT(Table1[[#This Row],[Location]],LEN(Table1[[#This Row],[Location]])-FIND(",",Table1[[#This Row],[Location]])))</f>
        <v>Illinois</v>
      </c>
      <c r="F21" t="s">
        <v>237</v>
      </c>
      <c r="G21" t="s">
        <v>45</v>
      </c>
      <c r="H21" t="s">
        <v>26</v>
      </c>
      <c r="I21">
        <v>8217</v>
      </c>
      <c r="J21">
        <v>25</v>
      </c>
      <c r="K21">
        <v>5740</v>
      </c>
      <c r="L21">
        <v>8009</v>
      </c>
      <c r="M21">
        <v>11</v>
      </c>
      <c r="N21">
        <v>6051.3346229999997</v>
      </c>
      <c r="O21" s="7">
        <f>IFERROR(Table1[[#This Row],[Clicks]]/Table1[[#This Row],[Impressions]],0)</f>
        <v>3.0424729219909945E-3</v>
      </c>
      <c r="P21" s="5">
        <f>IFERROR(Table1[[#This Row],[Total Conversions]]/Table1[[#This Row],[Clicks]],0)</f>
        <v>0.44</v>
      </c>
      <c r="Q21" s="10">
        <f>IFERROR(Table1[[#This Row],[Gross Cost]]/Table1[[#This Row],[Total Conversions]],0)</f>
        <v>550.12132936363639</v>
      </c>
      <c r="R21" s="10">
        <f>IFERROR(Table1[[#This Row],[Gross Cost]]/(Table1[[#This Row],[Impressions]]/1000),0)</f>
        <v>736.4408692953632</v>
      </c>
      <c r="S21" s="5">
        <f>IFERROR(Table1[[#This Row],[Viewable Impressions]]/Table1[[#This Row],[Measurable Impressions]],0)</f>
        <v>0.71669371956548877</v>
      </c>
      <c r="T21" s="10">
        <f>IFERROR(1000*Table1[[#This Row],[Gross Cost]]/Table1[[#This Row],[Viewable Impressions]],0)</f>
        <v>1054.2394813588849</v>
      </c>
      <c r="U21" s="10"/>
    </row>
    <row r="22" spans="1:21" x14ac:dyDescent="0.2">
      <c r="A22" t="s">
        <v>392</v>
      </c>
      <c r="B22" t="s">
        <v>21</v>
      </c>
      <c r="C22" t="s">
        <v>30</v>
      </c>
      <c r="D22" t="s">
        <v>149</v>
      </c>
      <c r="E22" t="str">
        <f>TRIM(RIGHT(Table1[[#This Row],[Location]],LEN(Table1[[#This Row],[Location]])-FIND(",",Table1[[#This Row],[Location]])))</f>
        <v>Indiana</v>
      </c>
      <c r="F22" t="s">
        <v>389</v>
      </c>
      <c r="G22" t="s">
        <v>45</v>
      </c>
      <c r="H22" t="s">
        <v>26</v>
      </c>
      <c r="I22">
        <v>8204</v>
      </c>
      <c r="J22">
        <v>20</v>
      </c>
      <c r="K22">
        <v>1348</v>
      </c>
      <c r="L22">
        <v>7832</v>
      </c>
      <c r="M22">
        <v>1</v>
      </c>
      <c r="N22">
        <v>5973.3798919999999</v>
      </c>
      <c r="O22" s="7">
        <f>IFERROR(Table1[[#This Row],[Clicks]]/Table1[[#This Row],[Impressions]],0)</f>
        <v>2.4378352023403218E-3</v>
      </c>
      <c r="P22" s="5">
        <f>IFERROR(Table1[[#This Row],[Total Conversions]]/Table1[[#This Row],[Clicks]],0)</f>
        <v>0.05</v>
      </c>
      <c r="Q22" s="10">
        <f>IFERROR(Table1[[#This Row],[Gross Cost]]/Table1[[#This Row],[Total Conversions]],0)</f>
        <v>5973.3798919999999</v>
      </c>
      <c r="R22" s="10">
        <f>IFERROR(Table1[[#This Row],[Gross Cost]]/(Table1[[#This Row],[Impressions]]/1000),0)</f>
        <v>728.1057888834714</v>
      </c>
      <c r="S22" s="5">
        <f>IFERROR(Table1[[#This Row],[Viewable Impressions]]/Table1[[#This Row],[Measurable Impressions]],0)</f>
        <v>0.1721144024514811</v>
      </c>
      <c r="T22" s="10">
        <f>IFERROR(1000*Table1[[#This Row],[Gross Cost]]/Table1[[#This Row],[Viewable Impressions]],0)</f>
        <v>4431.2907210682497</v>
      </c>
      <c r="U22" s="10"/>
    </row>
    <row r="23" spans="1:21" x14ac:dyDescent="0.2">
      <c r="A23" t="s">
        <v>386</v>
      </c>
      <c r="B23" t="s">
        <v>21</v>
      </c>
      <c r="C23" t="s">
        <v>41</v>
      </c>
      <c r="D23" t="s">
        <v>34</v>
      </c>
      <c r="E23" t="str">
        <f>TRIM(RIGHT(Table1[[#This Row],[Location]],LEN(Table1[[#This Row],[Location]])-FIND(",",Table1[[#This Row],[Location]])))</f>
        <v>Illinois</v>
      </c>
      <c r="F23" t="s">
        <v>385</v>
      </c>
      <c r="G23" t="s">
        <v>18</v>
      </c>
      <c r="H23" t="s">
        <v>26</v>
      </c>
      <c r="I23">
        <v>9463</v>
      </c>
      <c r="J23">
        <v>56</v>
      </c>
      <c r="K23">
        <v>1518</v>
      </c>
      <c r="L23">
        <v>8191</v>
      </c>
      <c r="M23">
        <v>4</v>
      </c>
      <c r="N23">
        <v>6879.6017069999998</v>
      </c>
      <c r="O23" s="7">
        <f>IFERROR(Table1[[#This Row],[Clicks]]/Table1[[#This Row],[Impressions]],0)</f>
        <v>5.9177850575927293E-3</v>
      </c>
      <c r="P23" s="5">
        <f>IFERROR(Table1[[#This Row],[Total Conversions]]/Table1[[#This Row],[Clicks]],0)</f>
        <v>7.1428571428571425E-2</v>
      </c>
      <c r="Q23" s="10">
        <f>IFERROR(Table1[[#This Row],[Gross Cost]]/Table1[[#This Row],[Total Conversions]],0)</f>
        <v>1719.90042675</v>
      </c>
      <c r="R23" s="10">
        <f>IFERROR(Table1[[#This Row],[Gross Cost]]/(Table1[[#This Row],[Impressions]]/1000),0)</f>
        <v>727.00007471203639</v>
      </c>
      <c r="S23" s="5">
        <f>IFERROR(Table1[[#This Row],[Viewable Impressions]]/Table1[[#This Row],[Measurable Impressions]],0)</f>
        <v>0.18532535709925527</v>
      </c>
      <c r="T23" s="10">
        <f>IFERROR(1000*Table1[[#This Row],[Gross Cost]]/Table1[[#This Row],[Viewable Impressions]],0)</f>
        <v>4532.0169347826086</v>
      </c>
      <c r="U23" s="10"/>
    </row>
    <row r="24" spans="1:21" x14ac:dyDescent="0.2">
      <c r="A24" t="s">
        <v>646</v>
      </c>
      <c r="B24" t="s">
        <v>60</v>
      </c>
      <c r="C24" t="s">
        <v>15</v>
      </c>
      <c r="D24" t="s">
        <v>28</v>
      </c>
      <c r="E24" t="str">
        <f>TRIM(RIGHT(Table1[[#This Row],[Location]],LEN(Table1[[#This Row],[Location]])-FIND(",",Table1[[#This Row],[Location]])))</f>
        <v>California</v>
      </c>
      <c r="F24" t="s">
        <v>647</v>
      </c>
      <c r="G24" t="s">
        <v>18</v>
      </c>
      <c r="H24" t="s">
        <v>26</v>
      </c>
      <c r="I24">
        <v>9238</v>
      </c>
      <c r="J24">
        <v>84</v>
      </c>
      <c r="K24">
        <v>4626</v>
      </c>
      <c r="L24">
        <v>8264</v>
      </c>
      <c r="M24">
        <v>15</v>
      </c>
      <c r="N24">
        <v>6683.2254869999997</v>
      </c>
      <c r="O24" s="7">
        <f>IFERROR(Table1[[#This Row],[Clicks]]/Table1[[#This Row],[Impressions]],0)</f>
        <v>9.0928772461571772E-3</v>
      </c>
      <c r="P24" s="5">
        <f>IFERROR(Table1[[#This Row],[Total Conversions]]/Table1[[#This Row],[Clicks]],0)</f>
        <v>0.17857142857142858</v>
      </c>
      <c r="Q24" s="10">
        <f>IFERROR(Table1[[#This Row],[Gross Cost]]/Table1[[#This Row],[Total Conversions]],0)</f>
        <v>445.5483658</v>
      </c>
      <c r="R24" s="10">
        <f>IFERROR(Table1[[#This Row],[Gross Cost]]/(Table1[[#This Row],[Impressions]]/1000),0)</f>
        <v>723.44939240095255</v>
      </c>
      <c r="S24" s="5">
        <f>IFERROR(Table1[[#This Row],[Viewable Impressions]]/Table1[[#This Row],[Measurable Impressions]],0)</f>
        <v>0.5597773475314618</v>
      </c>
      <c r="T24" s="10">
        <f>IFERROR(1000*Table1[[#This Row],[Gross Cost]]/Table1[[#This Row],[Viewable Impressions]],0)</f>
        <v>1444.7093573281452</v>
      </c>
      <c r="U24" s="10"/>
    </row>
    <row r="25" spans="1:21" x14ac:dyDescent="0.2">
      <c r="A25" t="s">
        <v>836</v>
      </c>
      <c r="B25" t="s">
        <v>21</v>
      </c>
      <c r="C25" t="s">
        <v>15</v>
      </c>
      <c r="D25" t="s">
        <v>28</v>
      </c>
      <c r="E25" t="str">
        <f>TRIM(RIGHT(Table1[[#This Row],[Location]],LEN(Table1[[#This Row],[Location]])-FIND(",",Table1[[#This Row],[Location]])))</f>
        <v>California</v>
      </c>
      <c r="F25" t="s">
        <v>835</v>
      </c>
      <c r="G25" t="s">
        <v>45</v>
      </c>
      <c r="H25" t="s">
        <v>26</v>
      </c>
      <c r="I25">
        <v>7769</v>
      </c>
      <c r="J25">
        <v>10</v>
      </c>
      <c r="K25">
        <v>3152</v>
      </c>
      <c r="L25">
        <v>6464</v>
      </c>
      <c r="M25">
        <v>1</v>
      </c>
      <c r="N25">
        <v>5603.0481319999999</v>
      </c>
      <c r="O25" s="7">
        <f>IFERROR(Table1[[#This Row],[Clicks]]/Table1[[#This Row],[Impressions]],0)</f>
        <v>1.2871669455528382E-3</v>
      </c>
      <c r="P25" s="5">
        <f>IFERROR(Table1[[#This Row],[Total Conversions]]/Table1[[#This Row],[Clicks]],0)</f>
        <v>0.1</v>
      </c>
      <c r="Q25" s="10">
        <f>IFERROR(Table1[[#This Row],[Gross Cost]]/Table1[[#This Row],[Total Conversions]],0)</f>
        <v>5603.0481319999999</v>
      </c>
      <c r="R25" s="10">
        <f>IFERROR(Table1[[#This Row],[Gross Cost]]/(Table1[[#This Row],[Impressions]]/1000),0)</f>
        <v>721.2058349851975</v>
      </c>
      <c r="S25" s="5">
        <f>IFERROR(Table1[[#This Row],[Viewable Impressions]]/Table1[[#This Row],[Measurable Impressions]],0)</f>
        <v>0.48762376237623761</v>
      </c>
      <c r="T25" s="10">
        <f>IFERROR(1000*Table1[[#This Row],[Gross Cost]]/Table1[[#This Row],[Viewable Impressions]],0)</f>
        <v>1777.6167931472082</v>
      </c>
      <c r="U25" s="10"/>
    </row>
    <row r="26" spans="1:21" x14ac:dyDescent="0.2">
      <c r="A26" t="s">
        <v>834</v>
      </c>
      <c r="B26" t="s">
        <v>21</v>
      </c>
      <c r="C26" t="s">
        <v>22</v>
      </c>
      <c r="D26" t="s">
        <v>83</v>
      </c>
      <c r="E26" t="str">
        <f>TRIM(RIGHT(Table1[[#This Row],[Location]],LEN(Table1[[#This Row],[Location]])-FIND(",",Table1[[#This Row],[Location]])))</f>
        <v>Florida</v>
      </c>
      <c r="F26" t="s">
        <v>835</v>
      </c>
      <c r="G26" t="s">
        <v>18</v>
      </c>
      <c r="H26" t="s">
        <v>26</v>
      </c>
      <c r="I26">
        <v>9709</v>
      </c>
      <c r="J26">
        <v>58</v>
      </c>
      <c r="K26">
        <v>3339</v>
      </c>
      <c r="L26">
        <v>7891</v>
      </c>
      <c r="M26">
        <v>3</v>
      </c>
      <c r="N26">
        <v>6994.0853530000004</v>
      </c>
      <c r="O26" s="7">
        <f>IFERROR(Table1[[#This Row],[Clicks]]/Table1[[#This Row],[Impressions]],0)</f>
        <v>5.9738387063549281E-3</v>
      </c>
      <c r="P26" s="5">
        <f>IFERROR(Table1[[#This Row],[Total Conversions]]/Table1[[#This Row],[Clicks]],0)</f>
        <v>5.1724137931034482E-2</v>
      </c>
      <c r="Q26" s="10">
        <f>IFERROR(Table1[[#This Row],[Gross Cost]]/Table1[[#This Row],[Total Conversions]],0)</f>
        <v>2331.3617843333336</v>
      </c>
      <c r="R26" s="10">
        <f>IFERROR(Table1[[#This Row],[Gross Cost]]/(Table1[[#This Row],[Impressions]]/1000),0)</f>
        <v>720.37134133278403</v>
      </c>
      <c r="S26" s="5">
        <f>IFERROR(Table1[[#This Row],[Viewable Impressions]]/Table1[[#This Row],[Measurable Impressions]],0)</f>
        <v>0.42314028640223039</v>
      </c>
      <c r="T26" s="10">
        <f>IFERROR(1000*Table1[[#This Row],[Gross Cost]]/Table1[[#This Row],[Viewable Impressions]],0)</f>
        <v>2094.6646759508835</v>
      </c>
      <c r="U26" s="10"/>
    </row>
    <row r="27" spans="1:21" x14ac:dyDescent="0.2">
      <c r="A27" t="s">
        <v>462</v>
      </c>
      <c r="B27" t="s">
        <v>21</v>
      </c>
      <c r="C27" t="s">
        <v>41</v>
      </c>
      <c r="D27" t="s">
        <v>23</v>
      </c>
      <c r="E27" t="str">
        <f>TRIM(RIGHT(Table1[[#This Row],[Location]],LEN(Table1[[#This Row],[Location]])-FIND(",",Table1[[#This Row],[Location]])))</f>
        <v>Florida</v>
      </c>
      <c r="F27" t="s">
        <v>463</v>
      </c>
      <c r="G27" t="s">
        <v>18</v>
      </c>
      <c r="H27" t="s">
        <v>26</v>
      </c>
      <c r="I27">
        <v>9261</v>
      </c>
      <c r="J27">
        <v>66</v>
      </c>
      <c r="K27">
        <v>3852</v>
      </c>
      <c r="L27">
        <v>8526</v>
      </c>
      <c r="M27">
        <v>9</v>
      </c>
      <c r="N27">
        <v>6511.0295759999999</v>
      </c>
      <c r="O27" s="7">
        <f>IFERROR(Table1[[#This Row],[Clicks]]/Table1[[#This Row],[Impressions]],0)</f>
        <v>7.1266601878846774E-3</v>
      </c>
      <c r="P27" s="5">
        <f>IFERROR(Table1[[#This Row],[Total Conversions]]/Table1[[#This Row],[Clicks]],0)</f>
        <v>0.13636363636363635</v>
      </c>
      <c r="Q27" s="10">
        <f>IFERROR(Table1[[#This Row],[Gross Cost]]/Table1[[#This Row],[Total Conversions]],0)</f>
        <v>723.44773066666664</v>
      </c>
      <c r="R27" s="10">
        <f>IFERROR(Table1[[#This Row],[Gross Cost]]/(Table1[[#This Row],[Impressions]]/1000),0)</f>
        <v>703.05901911240687</v>
      </c>
      <c r="S27" s="5">
        <f>IFERROR(Table1[[#This Row],[Viewable Impressions]]/Table1[[#This Row],[Measurable Impressions]],0)</f>
        <v>0.45179451090781142</v>
      </c>
      <c r="T27" s="10">
        <f>IFERROR(1000*Table1[[#This Row],[Gross Cost]]/Table1[[#This Row],[Viewable Impressions]],0)</f>
        <v>1690.2984361370718</v>
      </c>
      <c r="U27" s="10"/>
    </row>
    <row r="28" spans="1:21" x14ac:dyDescent="0.2">
      <c r="A28" t="s">
        <v>977</v>
      </c>
      <c r="B28" t="s">
        <v>21</v>
      </c>
      <c r="C28" t="s">
        <v>15</v>
      </c>
      <c r="D28" t="s">
        <v>23</v>
      </c>
      <c r="E28" t="str">
        <f>TRIM(RIGHT(Table1[[#This Row],[Location]],LEN(Table1[[#This Row],[Location]])-FIND(",",Table1[[#This Row],[Location]])))</f>
        <v>Florida</v>
      </c>
      <c r="F28" t="s">
        <v>978</v>
      </c>
      <c r="G28" t="s">
        <v>18</v>
      </c>
      <c r="H28" t="s">
        <v>26</v>
      </c>
      <c r="I28">
        <v>9357</v>
      </c>
      <c r="J28">
        <v>60</v>
      </c>
      <c r="K28">
        <v>1754</v>
      </c>
      <c r="L28">
        <v>8343</v>
      </c>
      <c r="M28">
        <v>10</v>
      </c>
      <c r="N28">
        <v>6559.4777560000002</v>
      </c>
      <c r="O28" s="7">
        <f>IFERROR(Table1[[#This Row],[Clicks]]/Table1[[#This Row],[Impressions]],0)</f>
        <v>6.4123116383456233E-3</v>
      </c>
      <c r="P28" s="5">
        <f>IFERROR(Table1[[#This Row],[Total Conversions]]/Table1[[#This Row],[Clicks]],0)</f>
        <v>0.16666666666666666</v>
      </c>
      <c r="Q28" s="10">
        <f>IFERROR(Table1[[#This Row],[Gross Cost]]/Table1[[#This Row],[Total Conversions]],0)</f>
        <v>655.9477756</v>
      </c>
      <c r="R28" s="10">
        <f>IFERROR(Table1[[#This Row],[Gross Cost]]/(Table1[[#This Row],[Impressions]]/1000),0)</f>
        <v>701.02359260446735</v>
      </c>
      <c r="S28" s="5">
        <f>IFERROR(Table1[[#This Row],[Viewable Impressions]]/Table1[[#This Row],[Measurable Impressions]],0)</f>
        <v>0.21023612609373127</v>
      </c>
      <c r="T28" s="10">
        <f>IFERROR(1000*Table1[[#This Row],[Gross Cost]]/Table1[[#This Row],[Viewable Impressions]],0)</f>
        <v>3739.7250604332953</v>
      </c>
      <c r="U28" s="10"/>
    </row>
    <row r="29" spans="1:21" x14ac:dyDescent="0.2">
      <c r="A29" t="s">
        <v>915</v>
      </c>
      <c r="B29" t="s">
        <v>21</v>
      </c>
      <c r="C29" t="s">
        <v>41</v>
      </c>
      <c r="D29" t="s">
        <v>34</v>
      </c>
      <c r="E29" t="str">
        <f>TRIM(RIGHT(Table1[[#This Row],[Location]],LEN(Table1[[#This Row],[Location]])-FIND(",",Table1[[#This Row],[Location]])))</f>
        <v>Illinois</v>
      </c>
      <c r="F29" t="s">
        <v>916</v>
      </c>
      <c r="G29" t="s">
        <v>32</v>
      </c>
      <c r="H29" t="s">
        <v>26</v>
      </c>
      <c r="I29">
        <v>9867</v>
      </c>
      <c r="J29">
        <v>30</v>
      </c>
      <c r="K29">
        <v>6867</v>
      </c>
      <c r="L29">
        <v>9347</v>
      </c>
      <c r="M29">
        <v>12</v>
      </c>
      <c r="N29">
        <v>6839.5690860000004</v>
      </c>
      <c r="O29" s="7">
        <f>IFERROR(Table1[[#This Row],[Clicks]]/Table1[[#This Row],[Impressions]],0)</f>
        <v>3.0404378230465185E-3</v>
      </c>
      <c r="P29" s="5">
        <f>IFERROR(Table1[[#This Row],[Total Conversions]]/Table1[[#This Row],[Clicks]],0)</f>
        <v>0.4</v>
      </c>
      <c r="Q29" s="10">
        <f>IFERROR(Table1[[#This Row],[Gross Cost]]/Table1[[#This Row],[Total Conversions]],0)</f>
        <v>569.9640905</v>
      </c>
      <c r="R29" s="10">
        <f>IFERROR(Table1[[#This Row],[Gross Cost]]/(Table1[[#This Row],[Impressions]]/1000),0)</f>
        <v>693.17615141380361</v>
      </c>
      <c r="S29" s="5">
        <f>IFERROR(Table1[[#This Row],[Viewable Impressions]]/Table1[[#This Row],[Measurable Impressions]],0)</f>
        <v>0.73467422702471386</v>
      </c>
      <c r="T29" s="10">
        <f>IFERROR(1000*Table1[[#This Row],[Gross Cost]]/Table1[[#This Row],[Viewable Impressions]],0)</f>
        <v>996.00540061162076</v>
      </c>
      <c r="U29" s="10"/>
    </row>
    <row r="30" spans="1:21" x14ac:dyDescent="0.2">
      <c r="A30" t="s">
        <v>164</v>
      </c>
      <c r="B30" t="s">
        <v>14</v>
      </c>
      <c r="C30" t="s">
        <v>15</v>
      </c>
      <c r="D30" t="s">
        <v>38</v>
      </c>
      <c r="E30" t="str">
        <f>TRIM(RIGHT(Table1[[#This Row],[Location]],LEN(Table1[[#This Row],[Location]])-FIND(",",Table1[[#This Row],[Location]])))</f>
        <v>Tennessee</v>
      </c>
      <c r="F30" t="s">
        <v>165</v>
      </c>
      <c r="G30" t="s">
        <v>166</v>
      </c>
      <c r="H30" t="s">
        <v>19</v>
      </c>
      <c r="I30">
        <v>10066</v>
      </c>
      <c r="J30">
        <v>63</v>
      </c>
      <c r="K30">
        <v>6978</v>
      </c>
      <c r="L30">
        <v>9369</v>
      </c>
      <c r="M30">
        <v>19</v>
      </c>
      <c r="N30">
        <v>6879.5870969999996</v>
      </c>
      <c r="O30" s="7">
        <f>IFERROR(Table1[[#This Row],[Clicks]]/Table1[[#This Row],[Impressions]],0)</f>
        <v>6.2586926286509036E-3</v>
      </c>
      <c r="P30" s="5">
        <f>IFERROR(Table1[[#This Row],[Total Conversions]]/Table1[[#This Row],[Clicks]],0)</f>
        <v>0.30158730158730157</v>
      </c>
      <c r="Q30" s="10">
        <f>IFERROR(Table1[[#This Row],[Gross Cost]]/Table1[[#This Row],[Total Conversions]],0)</f>
        <v>362.08353142105261</v>
      </c>
      <c r="R30" s="10">
        <f>IFERROR(Table1[[#This Row],[Gross Cost]]/(Table1[[#This Row],[Impressions]]/1000),0)</f>
        <v>683.44795320882167</v>
      </c>
      <c r="S30" s="5">
        <f>IFERROR(Table1[[#This Row],[Viewable Impressions]]/Table1[[#This Row],[Measurable Impressions]],0)</f>
        <v>0.74479666986871595</v>
      </c>
      <c r="T30" s="10">
        <f>IFERROR(1000*Table1[[#This Row],[Gross Cost]]/Table1[[#This Row],[Viewable Impressions]],0)</f>
        <v>985.89668916595019</v>
      </c>
      <c r="U30" s="10"/>
    </row>
    <row r="31" spans="1:21" x14ac:dyDescent="0.2">
      <c r="A31" t="s">
        <v>268</v>
      </c>
      <c r="B31" t="s">
        <v>14</v>
      </c>
      <c r="C31" t="s">
        <v>41</v>
      </c>
      <c r="D31" t="s">
        <v>16</v>
      </c>
      <c r="E31" t="str">
        <f>TRIM(RIGHT(Table1[[#This Row],[Location]],LEN(Table1[[#This Row],[Location]])-FIND(",",Table1[[#This Row],[Location]])))</f>
        <v>California</v>
      </c>
      <c r="F31" t="s">
        <v>267</v>
      </c>
      <c r="G31" t="s">
        <v>18</v>
      </c>
      <c r="H31" t="s">
        <v>26</v>
      </c>
      <c r="I31">
        <v>7921</v>
      </c>
      <c r="J31">
        <v>50</v>
      </c>
      <c r="K31">
        <v>4727</v>
      </c>
      <c r="L31">
        <v>6513</v>
      </c>
      <c r="M31">
        <v>11</v>
      </c>
      <c r="N31">
        <v>5379.00144</v>
      </c>
      <c r="O31" s="7">
        <f>IFERROR(Table1[[#This Row],[Clicks]]/Table1[[#This Row],[Impressions]],0)</f>
        <v>6.3123343012245932E-3</v>
      </c>
      <c r="P31" s="5">
        <f>IFERROR(Table1[[#This Row],[Total Conversions]]/Table1[[#This Row],[Clicks]],0)</f>
        <v>0.22</v>
      </c>
      <c r="Q31" s="10">
        <f>IFERROR(Table1[[#This Row],[Gross Cost]]/Table1[[#This Row],[Total Conversions]],0)</f>
        <v>489.0001309090909</v>
      </c>
      <c r="R31" s="10">
        <f>IFERROR(Table1[[#This Row],[Gross Cost]]/(Table1[[#This Row],[Impressions]]/1000),0)</f>
        <v>679.08110592096955</v>
      </c>
      <c r="S31" s="5">
        <f>IFERROR(Table1[[#This Row],[Viewable Impressions]]/Table1[[#This Row],[Measurable Impressions]],0)</f>
        <v>0.72577921080915098</v>
      </c>
      <c r="T31" s="10">
        <f>IFERROR(1000*Table1[[#This Row],[Gross Cost]]/Table1[[#This Row],[Viewable Impressions]],0)</f>
        <v>1137.9313391157184</v>
      </c>
      <c r="U31" s="10"/>
    </row>
    <row r="32" spans="1:21" x14ac:dyDescent="0.2">
      <c r="A32" t="s">
        <v>283</v>
      </c>
      <c r="B32" t="s">
        <v>60</v>
      </c>
      <c r="C32" t="s">
        <v>15</v>
      </c>
      <c r="D32" t="s">
        <v>28</v>
      </c>
      <c r="E32" t="str">
        <f>TRIM(RIGHT(Table1[[#This Row],[Location]],LEN(Table1[[#This Row],[Location]])-FIND(",",Table1[[#This Row],[Location]])))</f>
        <v>California</v>
      </c>
      <c r="F32" t="s">
        <v>284</v>
      </c>
      <c r="G32" t="s">
        <v>116</v>
      </c>
      <c r="H32" t="s">
        <v>26</v>
      </c>
      <c r="I32">
        <v>9560</v>
      </c>
      <c r="J32">
        <v>98</v>
      </c>
      <c r="K32">
        <v>3076</v>
      </c>
      <c r="L32">
        <v>6252</v>
      </c>
      <c r="M32">
        <v>17</v>
      </c>
      <c r="N32">
        <v>6420.2181229999997</v>
      </c>
      <c r="O32" s="7">
        <f>IFERROR(Table1[[#This Row],[Clicks]]/Table1[[#This Row],[Impressions]],0)</f>
        <v>1.0251046025104602E-2</v>
      </c>
      <c r="P32" s="5">
        <f>IFERROR(Table1[[#This Row],[Total Conversions]]/Table1[[#This Row],[Clicks]],0)</f>
        <v>0.17346938775510204</v>
      </c>
      <c r="Q32" s="10">
        <f>IFERROR(Table1[[#This Row],[Gross Cost]]/Table1[[#This Row],[Total Conversions]],0)</f>
        <v>377.65988958823527</v>
      </c>
      <c r="R32" s="10">
        <f>IFERROR(Table1[[#This Row],[Gross Cost]]/(Table1[[#This Row],[Impressions]]/1000),0)</f>
        <v>671.57093336820071</v>
      </c>
      <c r="S32" s="5">
        <f>IFERROR(Table1[[#This Row],[Viewable Impressions]]/Table1[[#This Row],[Measurable Impressions]],0)</f>
        <v>0.49200255918106206</v>
      </c>
      <c r="T32" s="10">
        <f>IFERROR(1000*Table1[[#This Row],[Gross Cost]]/Table1[[#This Row],[Viewable Impressions]],0)</f>
        <v>2087.197049089727</v>
      </c>
      <c r="U32" s="10"/>
    </row>
    <row r="33" spans="1:21" x14ac:dyDescent="0.2">
      <c r="A33" t="s">
        <v>238</v>
      </c>
      <c r="B33" t="s">
        <v>21</v>
      </c>
      <c r="C33" t="s">
        <v>22</v>
      </c>
      <c r="D33" t="s">
        <v>239</v>
      </c>
      <c r="E33" t="str">
        <f>TRIM(RIGHT(Table1[[#This Row],[Location]],LEN(Table1[[#This Row],[Location]])-FIND(",",Table1[[#This Row],[Location]])))</f>
        <v>Tennessee</v>
      </c>
      <c r="F33" t="s">
        <v>237</v>
      </c>
      <c r="G33" t="s">
        <v>160</v>
      </c>
      <c r="H33" t="s">
        <v>26</v>
      </c>
      <c r="I33">
        <v>7530</v>
      </c>
      <c r="J33">
        <v>20</v>
      </c>
      <c r="K33">
        <v>5468</v>
      </c>
      <c r="L33">
        <v>7298</v>
      </c>
      <c r="M33">
        <v>3</v>
      </c>
      <c r="N33">
        <v>5038.7140669999999</v>
      </c>
      <c r="O33" s="7">
        <f>IFERROR(Table1[[#This Row],[Clicks]]/Table1[[#This Row],[Impressions]],0)</f>
        <v>2.6560424966799467E-3</v>
      </c>
      <c r="P33" s="5">
        <f>IFERROR(Table1[[#This Row],[Total Conversions]]/Table1[[#This Row],[Clicks]],0)</f>
        <v>0.15</v>
      </c>
      <c r="Q33" s="10">
        <f>IFERROR(Table1[[#This Row],[Gross Cost]]/Table1[[#This Row],[Total Conversions]],0)</f>
        <v>1679.5713556666667</v>
      </c>
      <c r="R33" s="10">
        <f>IFERROR(Table1[[#This Row],[Gross Cost]]/(Table1[[#This Row],[Impressions]]/1000),0)</f>
        <v>669.15193452855237</v>
      </c>
      <c r="S33" s="5">
        <f>IFERROR(Table1[[#This Row],[Viewable Impressions]]/Table1[[#This Row],[Measurable Impressions]],0)</f>
        <v>0.74924636886818308</v>
      </c>
      <c r="T33" s="10">
        <f>IFERROR(1000*Table1[[#This Row],[Gross Cost]]/Table1[[#This Row],[Viewable Impressions]],0)</f>
        <v>921.4912339063643</v>
      </c>
      <c r="U33" s="10"/>
    </row>
    <row r="34" spans="1:21" x14ac:dyDescent="0.2">
      <c r="A34" t="s">
        <v>404</v>
      </c>
      <c r="B34" t="s">
        <v>14</v>
      </c>
      <c r="C34" t="s">
        <v>15</v>
      </c>
      <c r="D34" t="s">
        <v>172</v>
      </c>
      <c r="E34" t="str">
        <f>TRIM(RIGHT(Table1[[#This Row],[Location]],LEN(Table1[[#This Row],[Location]])-FIND(",",Table1[[#This Row],[Location]])))</f>
        <v>Tennessee</v>
      </c>
      <c r="F34" t="s">
        <v>405</v>
      </c>
      <c r="G34" t="s">
        <v>18</v>
      </c>
      <c r="H34" t="s">
        <v>26</v>
      </c>
      <c r="I34">
        <v>7583</v>
      </c>
      <c r="J34">
        <v>45</v>
      </c>
      <c r="K34">
        <v>4608</v>
      </c>
      <c r="L34">
        <v>5881</v>
      </c>
      <c r="M34">
        <v>1</v>
      </c>
      <c r="N34">
        <v>5033.4825780000001</v>
      </c>
      <c r="O34" s="7">
        <f>IFERROR(Table1[[#This Row],[Clicks]]/Table1[[#This Row],[Impressions]],0)</f>
        <v>5.9343267835948836E-3</v>
      </c>
      <c r="P34" s="5">
        <f>IFERROR(Table1[[#This Row],[Total Conversions]]/Table1[[#This Row],[Clicks]],0)</f>
        <v>2.2222222222222223E-2</v>
      </c>
      <c r="Q34" s="10">
        <f>IFERROR(Table1[[#This Row],[Gross Cost]]/Table1[[#This Row],[Total Conversions]],0)</f>
        <v>5033.4825780000001</v>
      </c>
      <c r="R34" s="10">
        <f>IFERROR(Table1[[#This Row],[Gross Cost]]/(Table1[[#This Row],[Impressions]]/1000),0)</f>
        <v>663.78512171963598</v>
      </c>
      <c r="S34" s="5">
        <f>IFERROR(Table1[[#This Row],[Viewable Impressions]]/Table1[[#This Row],[Measurable Impressions]],0)</f>
        <v>0.78354021424927733</v>
      </c>
      <c r="T34" s="10">
        <f>IFERROR(1000*Table1[[#This Row],[Gross Cost]]/Table1[[#This Row],[Viewable Impressions]],0)</f>
        <v>1092.3356289062499</v>
      </c>
      <c r="U34" s="10"/>
    </row>
    <row r="35" spans="1:21" x14ac:dyDescent="0.2">
      <c r="A35" t="s">
        <v>276</v>
      </c>
      <c r="B35" t="s">
        <v>60</v>
      </c>
      <c r="C35" t="s">
        <v>15</v>
      </c>
      <c r="D35" t="s">
        <v>16</v>
      </c>
      <c r="E35" t="str">
        <f>TRIM(RIGHT(Table1[[#This Row],[Location]],LEN(Table1[[#This Row],[Location]])-FIND(",",Table1[[#This Row],[Location]])))</f>
        <v>California</v>
      </c>
      <c r="F35" t="s">
        <v>277</v>
      </c>
      <c r="G35" t="s">
        <v>25</v>
      </c>
      <c r="H35" t="s">
        <v>26</v>
      </c>
      <c r="I35">
        <v>10350</v>
      </c>
      <c r="J35">
        <v>66</v>
      </c>
      <c r="K35">
        <v>723</v>
      </c>
      <c r="L35">
        <v>8720</v>
      </c>
      <c r="M35">
        <v>14</v>
      </c>
      <c r="N35">
        <v>6774.202636</v>
      </c>
      <c r="O35" s="7">
        <f>IFERROR(Table1[[#This Row],[Clicks]]/Table1[[#This Row],[Impressions]],0)</f>
        <v>6.3768115942028983E-3</v>
      </c>
      <c r="P35" s="5">
        <f>IFERROR(Table1[[#This Row],[Total Conversions]]/Table1[[#This Row],[Clicks]],0)</f>
        <v>0.21212121212121213</v>
      </c>
      <c r="Q35" s="10">
        <f>IFERROR(Table1[[#This Row],[Gross Cost]]/Table1[[#This Row],[Total Conversions]],0)</f>
        <v>483.87161685714284</v>
      </c>
      <c r="R35" s="10">
        <f>IFERROR(Table1[[#This Row],[Gross Cost]]/(Table1[[#This Row],[Impressions]]/1000),0)</f>
        <v>654.51233198067632</v>
      </c>
      <c r="S35" s="5">
        <f>IFERROR(Table1[[#This Row],[Viewable Impressions]]/Table1[[#This Row],[Measurable Impressions]],0)</f>
        <v>8.2912844036697242E-2</v>
      </c>
      <c r="T35" s="10">
        <f>IFERROR(1000*Table1[[#This Row],[Gross Cost]]/Table1[[#This Row],[Viewable Impressions]],0)</f>
        <v>9369.5748769017973</v>
      </c>
      <c r="U35" s="10"/>
    </row>
    <row r="36" spans="1:21" x14ac:dyDescent="0.2">
      <c r="A36" t="s">
        <v>657</v>
      </c>
      <c r="B36" t="s">
        <v>14</v>
      </c>
      <c r="C36" t="s">
        <v>30</v>
      </c>
      <c r="D36" t="s">
        <v>16</v>
      </c>
      <c r="E36" t="str">
        <f>TRIM(RIGHT(Table1[[#This Row],[Location]],LEN(Table1[[#This Row],[Location]])-FIND(",",Table1[[#This Row],[Location]])))</f>
        <v>California</v>
      </c>
      <c r="F36" t="s">
        <v>658</v>
      </c>
      <c r="G36" t="s">
        <v>18</v>
      </c>
      <c r="H36" t="s">
        <v>26</v>
      </c>
      <c r="I36">
        <v>11476</v>
      </c>
      <c r="J36">
        <v>45</v>
      </c>
      <c r="K36">
        <v>4963</v>
      </c>
      <c r="L36">
        <v>10991</v>
      </c>
      <c r="M36">
        <v>8</v>
      </c>
      <c r="N36">
        <v>7227.4173490000003</v>
      </c>
      <c r="O36" s="7">
        <f>IFERROR(Table1[[#This Row],[Clicks]]/Table1[[#This Row],[Impressions]],0)</f>
        <v>3.921226908330429E-3</v>
      </c>
      <c r="P36" s="5">
        <f>IFERROR(Table1[[#This Row],[Total Conversions]]/Table1[[#This Row],[Clicks]],0)</f>
        <v>0.17777777777777778</v>
      </c>
      <c r="Q36" s="10">
        <f>IFERROR(Table1[[#This Row],[Gross Cost]]/Table1[[#This Row],[Total Conversions]],0)</f>
        <v>903.42716862500004</v>
      </c>
      <c r="R36" s="10">
        <f>IFERROR(Table1[[#This Row],[Gross Cost]]/(Table1[[#This Row],[Impressions]]/1000),0)</f>
        <v>629.78540859184386</v>
      </c>
      <c r="S36" s="5">
        <f>IFERROR(Table1[[#This Row],[Viewable Impressions]]/Table1[[#This Row],[Measurable Impressions]],0)</f>
        <v>0.45155126922027111</v>
      </c>
      <c r="T36" s="10">
        <f>IFERROR(1000*Table1[[#This Row],[Gross Cost]]/Table1[[#This Row],[Viewable Impressions]],0)</f>
        <v>1456.2597922627444</v>
      </c>
      <c r="U36" s="10"/>
    </row>
    <row r="37" spans="1:21" x14ac:dyDescent="0.2">
      <c r="A37" t="s">
        <v>384</v>
      </c>
      <c r="B37" t="s">
        <v>14</v>
      </c>
      <c r="C37" t="s">
        <v>15</v>
      </c>
      <c r="D37" t="s">
        <v>34</v>
      </c>
      <c r="E37" t="str">
        <f>TRIM(RIGHT(Table1[[#This Row],[Location]],LEN(Table1[[#This Row],[Location]])-FIND(",",Table1[[#This Row],[Location]])))</f>
        <v>Illinois</v>
      </c>
      <c r="F37" t="s">
        <v>385</v>
      </c>
      <c r="G37" t="s">
        <v>116</v>
      </c>
      <c r="H37" t="s">
        <v>26</v>
      </c>
      <c r="I37">
        <v>12710</v>
      </c>
      <c r="J37">
        <v>10</v>
      </c>
      <c r="K37">
        <v>8159</v>
      </c>
      <c r="L37">
        <v>11984</v>
      </c>
      <c r="M37">
        <v>11</v>
      </c>
      <c r="N37">
        <v>7851.3974779999999</v>
      </c>
      <c r="O37" s="7">
        <f>IFERROR(Table1[[#This Row],[Clicks]]/Table1[[#This Row],[Impressions]],0)</f>
        <v>7.8678206136900079E-4</v>
      </c>
      <c r="P37" s="5">
        <f>IFERROR(Table1[[#This Row],[Total Conversions]]/Table1[[#This Row],[Clicks]],0)</f>
        <v>1.1000000000000001</v>
      </c>
      <c r="Q37" s="10">
        <f>IFERROR(Table1[[#This Row],[Gross Cost]]/Table1[[#This Row],[Total Conversions]],0)</f>
        <v>713.76340709090903</v>
      </c>
      <c r="R37" s="10">
        <f>IFERROR(Table1[[#This Row],[Gross Cost]]/(Table1[[#This Row],[Impressions]]/1000),0)</f>
        <v>617.73386923682131</v>
      </c>
      <c r="S37" s="5">
        <f>IFERROR(Table1[[#This Row],[Viewable Impressions]]/Table1[[#This Row],[Measurable Impressions]],0)</f>
        <v>0.68082443257676906</v>
      </c>
      <c r="T37" s="10">
        <f>IFERROR(1000*Table1[[#This Row],[Gross Cost]]/Table1[[#This Row],[Viewable Impressions]],0)</f>
        <v>962.29899227846556</v>
      </c>
      <c r="U37" s="10"/>
    </row>
    <row r="38" spans="1:21" x14ac:dyDescent="0.2">
      <c r="A38" t="s">
        <v>257</v>
      </c>
      <c r="B38" t="s">
        <v>14</v>
      </c>
      <c r="C38" t="s">
        <v>15</v>
      </c>
      <c r="D38" t="s">
        <v>77</v>
      </c>
      <c r="E38" t="str">
        <f>TRIM(RIGHT(Table1[[#This Row],[Location]],LEN(Table1[[#This Row],[Location]])-FIND(",",Table1[[#This Row],[Location]])))</f>
        <v>New York</v>
      </c>
      <c r="F38" t="s">
        <v>258</v>
      </c>
      <c r="G38" t="s">
        <v>18</v>
      </c>
      <c r="H38" t="s">
        <v>26</v>
      </c>
      <c r="I38">
        <v>8111</v>
      </c>
      <c r="J38">
        <v>0</v>
      </c>
      <c r="K38">
        <v>4346</v>
      </c>
      <c r="L38">
        <v>6163</v>
      </c>
      <c r="M38">
        <v>1</v>
      </c>
      <c r="N38">
        <v>5000.7612060000001</v>
      </c>
      <c r="O38" s="7">
        <f>IFERROR(Table1[[#This Row],[Clicks]]/Table1[[#This Row],[Impressions]],0)</f>
        <v>0</v>
      </c>
      <c r="P38" s="5">
        <f>IFERROR(Table1[[#This Row],[Total Conversions]]/Table1[[#This Row],[Clicks]],0)</f>
        <v>0</v>
      </c>
      <c r="Q38" s="10">
        <f>IFERROR(Table1[[#This Row],[Gross Cost]]/Table1[[#This Row],[Total Conversions]],0)</f>
        <v>5000.7612060000001</v>
      </c>
      <c r="R38" s="10">
        <f>IFERROR(Table1[[#This Row],[Gross Cost]]/(Table1[[#This Row],[Impressions]]/1000),0)</f>
        <v>616.54064924177044</v>
      </c>
      <c r="S38" s="5">
        <f>IFERROR(Table1[[#This Row],[Viewable Impressions]]/Table1[[#This Row],[Measurable Impressions]],0)</f>
        <v>0.70517605062469579</v>
      </c>
      <c r="T38" s="10">
        <f>IFERROR(1000*Table1[[#This Row],[Gross Cost]]/Table1[[#This Row],[Viewable Impressions]],0)</f>
        <v>1150.6583538886332</v>
      </c>
      <c r="U38" s="10"/>
    </row>
    <row r="39" spans="1:21" x14ac:dyDescent="0.2">
      <c r="A39" t="s">
        <v>671</v>
      </c>
      <c r="B39" t="s">
        <v>14</v>
      </c>
      <c r="C39" t="s">
        <v>41</v>
      </c>
      <c r="D39" t="s">
        <v>65</v>
      </c>
      <c r="E39" t="str">
        <f>TRIM(RIGHT(Table1[[#This Row],[Location]],LEN(Table1[[#This Row],[Location]])-FIND(",",Table1[[#This Row],[Location]])))</f>
        <v>Florida</v>
      </c>
      <c r="F39" t="s">
        <v>668</v>
      </c>
      <c r="G39" t="s">
        <v>45</v>
      </c>
      <c r="H39" t="s">
        <v>26</v>
      </c>
      <c r="I39">
        <v>8420</v>
      </c>
      <c r="J39">
        <v>80</v>
      </c>
      <c r="K39">
        <v>4430</v>
      </c>
      <c r="L39">
        <v>7869</v>
      </c>
      <c r="M39">
        <v>8</v>
      </c>
      <c r="N39">
        <v>5184.5854239999999</v>
      </c>
      <c r="O39" s="7">
        <f>IFERROR(Table1[[#This Row],[Clicks]]/Table1[[#This Row],[Impressions]],0)</f>
        <v>9.5011876484560574E-3</v>
      </c>
      <c r="P39" s="5">
        <f>IFERROR(Table1[[#This Row],[Total Conversions]]/Table1[[#This Row],[Clicks]],0)</f>
        <v>0.1</v>
      </c>
      <c r="Q39" s="10">
        <f>IFERROR(Table1[[#This Row],[Gross Cost]]/Table1[[#This Row],[Total Conversions]],0)</f>
        <v>648.07317799999998</v>
      </c>
      <c r="R39" s="10">
        <f>IFERROR(Table1[[#This Row],[Gross Cost]]/(Table1[[#This Row],[Impressions]]/1000),0)</f>
        <v>615.74648741092631</v>
      </c>
      <c r="S39" s="5">
        <f>IFERROR(Table1[[#This Row],[Viewable Impressions]]/Table1[[#This Row],[Measurable Impressions]],0)</f>
        <v>0.56296861100521034</v>
      </c>
      <c r="T39" s="10">
        <f>IFERROR(1000*Table1[[#This Row],[Gross Cost]]/Table1[[#This Row],[Viewable Impressions]],0)</f>
        <v>1170.3353101580135</v>
      </c>
      <c r="U39" s="10"/>
    </row>
    <row r="40" spans="1:21" x14ac:dyDescent="0.2">
      <c r="A40" t="s">
        <v>209</v>
      </c>
      <c r="B40" t="s">
        <v>21</v>
      </c>
      <c r="C40" t="s">
        <v>30</v>
      </c>
      <c r="D40" t="s">
        <v>77</v>
      </c>
      <c r="E40" t="str">
        <f>TRIM(RIGHT(Table1[[#This Row],[Location]],LEN(Table1[[#This Row],[Location]])-FIND(",",Table1[[#This Row],[Location]])))</f>
        <v>New York</v>
      </c>
      <c r="F40" t="s">
        <v>210</v>
      </c>
      <c r="G40" t="s">
        <v>18</v>
      </c>
      <c r="H40" t="s">
        <v>26</v>
      </c>
      <c r="I40">
        <v>9515</v>
      </c>
      <c r="J40">
        <v>30</v>
      </c>
      <c r="K40">
        <v>6169</v>
      </c>
      <c r="L40">
        <v>9138</v>
      </c>
      <c r="M40">
        <v>3</v>
      </c>
      <c r="N40">
        <v>5776.508186</v>
      </c>
      <c r="O40" s="7">
        <f>IFERROR(Table1[[#This Row],[Clicks]]/Table1[[#This Row],[Impressions]],0)</f>
        <v>3.1529164477141357E-3</v>
      </c>
      <c r="P40" s="5">
        <f>IFERROR(Table1[[#This Row],[Total Conversions]]/Table1[[#This Row],[Clicks]],0)</f>
        <v>0.1</v>
      </c>
      <c r="Q40" s="10">
        <f>IFERROR(Table1[[#This Row],[Gross Cost]]/Table1[[#This Row],[Total Conversions]],0)</f>
        <v>1925.5027286666666</v>
      </c>
      <c r="R40" s="10">
        <f>IFERROR(Table1[[#This Row],[Gross Cost]]/(Table1[[#This Row],[Impressions]]/1000),0)</f>
        <v>607.09492233315814</v>
      </c>
      <c r="S40" s="5">
        <f>IFERROR(Table1[[#This Row],[Viewable Impressions]]/Table1[[#This Row],[Measurable Impressions]],0)</f>
        <v>0.67509301816590062</v>
      </c>
      <c r="T40" s="10">
        <f>IFERROR(1000*Table1[[#This Row],[Gross Cost]]/Table1[[#This Row],[Viewable Impressions]],0)</f>
        <v>936.37675247203754</v>
      </c>
      <c r="U40" s="10"/>
    </row>
    <row r="41" spans="1:21" x14ac:dyDescent="0.2">
      <c r="A41" t="s">
        <v>847</v>
      </c>
      <c r="B41" t="s">
        <v>21</v>
      </c>
      <c r="C41" t="s">
        <v>22</v>
      </c>
      <c r="D41" t="s">
        <v>31</v>
      </c>
      <c r="E41" t="str">
        <f>TRIM(RIGHT(Table1[[#This Row],[Location]],LEN(Table1[[#This Row],[Location]])-FIND(",",Table1[[#This Row],[Location]])))</f>
        <v>Michigan</v>
      </c>
      <c r="F41" t="s">
        <v>848</v>
      </c>
      <c r="G41" t="s">
        <v>18</v>
      </c>
      <c r="H41" t="s">
        <v>26</v>
      </c>
      <c r="I41">
        <v>12161</v>
      </c>
      <c r="J41">
        <v>20</v>
      </c>
      <c r="K41">
        <v>6284</v>
      </c>
      <c r="L41">
        <v>10919</v>
      </c>
      <c r="M41">
        <v>4</v>
      </c>
      <c r="N41">
        <v>7273.2659880000001</v>
      </c>
      <c r="O41" s="7">
        <f>IFERROR(Table1[[#This Row],[Clicks]]/Table1[[#This Row],[Impressions]],0)</f>
        <v>1.6446015952635473E-3</v>
      </c>
      <c r="P41" s="5">
        <f>IFERROR(Table1[[#This Row],[Total Conversions]]/Table1[[#This Row],[Clicks]],0)</f>
        <v>0.2</v>
      </c>
      <c r="Q41" s="10">
        <f>IFERROR(Table1[[#This Row],[Gross Cost]]/Table1[[#This Row],[Total Conversions]],0)</f>
        <v>1818.316497</v>
      </c>
      <c r="R41" s="10">
        <f>IFERROR(Table1[[#This Row],[Gross Cost]]/(Table1[[#This Row],[Impressions]]/1000),0)</f>
        <v>598.08124233204512</v>
      </c>
      <c r="S41" s="5">
        <f>IFERROR(Table1[[#This Row],[Viewable Impressions]]/Table1[[#This Row],[Measurable Impressions]],0)</f>
        <v>0.57551057789174831</v>
      </c>
      <c r="T41" s="10">
        <f>IFERROR(1000*Table1[[#This Row],[Gross Cost]]/Table1[[#This Row],[Viewable Impressions]],0)</f>
        <v>1157.4261597708467</v>
      </c>
      <c r="U41" s="10"/>
    </row>
    <row r="42" spans="1:21" x14ac:dyDescent="0.2">
      <c r="A42" t="s">
        <v>910</v>
      </c>
      <c r="B42" t="s">
        <v>14</v>
      </c>
      <c r="C42" t="s">
        <v>15</v>
      </c>
      <c r="D42" t="s">
        <v>16</v>
      </c>
      <c r="E42" t="str">
        <f>TRIM(RIGHT(Table1[[#This Row],[Location]],LEN(Table1[[#This Row],[Location]])-FIND(",",Table1[[#This Row],[Location]])))</f>
        <v>California</v>
      </c>
      <c r="F42" t="s">
        <v>911</v>
      </c>
      <c r="G42" t="s">
        <v>116</v>
      </c>
      <c r="H42" t="s">
        <v>26</v>
      </c>
      <c r="I42">
        <v>11607</v>
      </c>
      <c r="J42">
        <v>184</v>
      </c>
      <c r="K42">
        <v>5218</v>
      </c>
      <c r="L42">
        <v>10763</v>
      </c>
      <c r="M42">
        <v>12</v>
      </c>
      <c r="N42">
        <v>6909.7323180000003</v>
      </c>
      <c r="O42" s="7">
        <f>IFERROR(Table1[[#This Row],[Clicks]]/Table1[[#This Row],[Impressions]],0)</f>
        <v>1.5852502800034463E-2</v>
      </c>
      <c r="P42" s="5">
        <f>IFERROR(Table1[[#This Row],[Total Conversions]]/Table1[[#This Row],[Clicks]],0)</f>
        <v>6.5217391304347824E-2</v>
      </c>
      <c r="Q42" s="10">
        <f>IFERROR(Table1[[#This Row],[Gross Cost]]/Table1[[#This Row],[Total Conversions]],0)</f>
        <v>575.81102650000003</v>
      </c>
      <c r="R42" s="10">
        <f>IFERROR(Table1[[#This Row],[Gross Cost]]/(Table1[[#This Row],[Impressions]]/1000),0)</f>
        <v>595.30734194882405</v>
      </c>
      <c r="S42" s="5">
        <f>IFERROR(Table1[[#This Row],[Viewable Impressions]]/Table1[[#This Row],[Measurable Impressions]],0)</f>
        <v>0.48480906810368857</v>
      </c>
      <c r="T42" s="10">
        <f>IFERROR(1000*Table1[[#This Row],[Gross Cost]]/Table1[[#This Row],[Viewable Impressions]],0)</f>
        <v>1324.2108696818705</v>
      </c>
      <c r="U42" s="10"/>
    </row>
    <row r="43" spans="1:21" x14ac:dyDescent="0.2">
      <c r="A43" t="s">
        <v>29</v>
      </c>
      <c r="B43" t="s">
        <v>14</v>
      </c>
      <c r="C43" t="s">
        <v>30</v>
      </c>
      <c r="D43" t="s">
        <v>31</v>
      </c>
      <c r="E43" t="str">
        <f>TRIM(RIGHT(Table1[[#This Row],[Location]],LEN(Table1[[#This Row],[Location]])-FIND(",",Table1[[#This Row],[Location]])))</f>
        <v>Michigan</v>
      </c>
      <c r="F43" t="s">
        <v>24</v>
      </c>
      <c r="G43" t="s">
        <v>32</v>
      </c>
      <c r="H43" t="s">
        <v>26</v>
      </c>
      <c r="I43">
        <v>10501</v>
      </c>
      <c r="J43">
        <v>90</v>
      </c>
      <c r="K43">
        <v>4126</v>
      </c>
      <c r="L43">
        <v>7654</v>
      </c>
      <c r="M43">
        <v>8</v>
      </c>
      <c r="N43">
        <v>6244.5179209999997</v>
      </c>
      <c r="O43" s="7">
        <f>IFERROR(Table1[[#This Row],[Clicks]]/Table1[[#This Row],[Impressions]],0)</f>
        <v>8.5706123226359388E-3</v>
      </c>
      <c r="P43" s="5">
        <f>IFERROR(Table1[[#This Row],[Total Conversions]]/Table1[[#This Row],[Clicks]],0)</f>
        <v>8.8888888888888892E-2</v>
      </c>
      <c r="Q43" s="10">
        <f>IFERROR(Table1[[#This Row],[Gross Cost]]/Table1[[#This Row],[Total Conversions]],0)</f>
        <v>780.56474012499996</v>
      </c>
      <c r="R43" s="10">
        <f>IFERROR(Table1[[#This Row],[Gross Cost]]/(Table1[[#This Row],[Impressions]]/1000),0)</f>
        <v>594.65935825159511</v>
      </c>
      <c r="S43" s="5">
        <f>IFERROR(Table1[[#This Row],[Viewable Impressions]]/Table1[[#This Row],[Measurable Impressions]],0)</f>
        <v>0.53906454141625293</v>
      </c>
      <c r="T43" s="10">
        <f>IFERROR(1000*Table1[[#This Row],[Gross Cost]]/Table1[[#This Row],[Viewable Impressions]],0)</f>
        <v>1513.4556279689773</v>
      </c>
      <c r="U43" s="10"/>
    </row>
    <row r="44" spans="1:21" x14ac:dyDescent="0.2">
      <c r="A44" t="s">
        <v>143</v>
      </c>
      <c r="B44" t="s">
        <v>21</v>
      </c>
      <c r="C44" t="s">
        <v>41</v>
      </c>
      <c r="D44" t="s">
        <v>28</v>
      </c>
      <c r="E44" t="str">
        <f>TRIM(RIGHT(Table1[[#This Row],[Location]],LEN(Table1[[#This Row],[Location]])-FIND(",",Table1[[#This Row],[Location]])))</f>
        <v>California</v>
      </c>
      <c r="F44" t="s">
        <v>144</v>
      </c>
      <c r="G44" t="s">
        <v>18</v>
      </c>
      <c r="H44" t="s">
        <v>26</v>
      </c>
      <c r="I44">
        <v>11511</v>
      </c>
      <c r="J44">
        <v>33</v>
      </c>
      <c r="K44">
        <v>8268</v>
      </c>
      <c r="L44">
        <v>11042</v>
      </c>
      <c r="M44">
        <v>3</v>
      </c>
      <c r="N44">
        <v>6815.7123250000004</v>
      </c>
      <c r="O44" s="7">
        <f>IFERROR(Table1[[#This Row],[Clicks]]/Table1[[#This Row],[Impressions]],0)</f>
        <v>2.8668230388324213E-3</v>
      </c>
      <c r="P44" s="5">
        <f>IFERROR(Table1[[#This Row],[Total Conversions]]/Table1[[#This Row],[Clicks]],0)</f>
        <v>9.0909090909090912E-2</v>
      </c>
      <c r="Q44" s="10">
        <f>IFERROR(Table1[[#This Row],[Gross Cost]]/Table1[[#This Row],[Total Conversions]],0)</f>
        <v>2271.9041083333336</v>
      </c>
      <c r="R44" s="10">
        <f>IFERROR(Table1[[#This Row],[Gross Cost]]/(Table1[[#This Row],[Impressions]]/1000),0)</f>
        <v>592.10427634436633</v>
      </c>
      <c r="S44" s="5">
        <f>IFERROR(Table1[[#This Row],[Viewable Impressions]]/Table1[[#This Row],[Measurable Impressions]],0)</f>
        <v>0.74877739539938415</v>
      </c>
      <c r="T44" s="10">
        <f>IFERROR(1000*Table1[[#This Row],[Gross Cost]]/Table1[[#This Row],[Viewable Impressions]],0)</f>
        <v>824.34837022254476</v>
      </c>
      <c r="U44" s="10"/>
    </row>
    <row r="45" spans="1:21" x14ac:dyDescent="0.2">
      <c r="A45" t="s">
        <v>988</v>
      </c>
      <c r="B45" t="s">
        <v>60</v>
      </c>
      <c r="C45" t="s">
        <v>15</v>
      </c>
      <c r="D45" t="s">
        <v>16</v>
      </c>
      <c r="E45" t="str">
        <f>TRIM(RIGHT(Table1[[#This Row],[Location]],LEN(Table1[[#This Row],[Location]])-FIND(",",Table1[[#This Row],[Location]])))</f>
        <v>California</v>
      </c>
      <c r="F45" t="s">
        <v>989</v>
      </c>
      <c r="G45" t="s">
        <v>25</v>
      </c>
      <c r="H45" t="s">
        <v>26</v>
      </c>
      <c r="I45">
        <v>10565</v>
      </c>
      <c r="J45">
        <v>66</v>
      </c>
      <c r="K45">
        <v>6248</v>
      </c>
      <c r="L45">
        <v>10141</v>
      </c>
      <c r="M45">
        <v>9</v>
      </c>
      <c r="N45">
        <v>6236.1130940000003</v>
      </c>
      <c r="O45" s="7">
        <f>IFERROR(Table1[[#This Row],[Clicks]]/Table1[[#This Row],[Impressions]],0)</f>
        <v>6.2470421202082344E-3</v>
      </c>
      <c r="P45" s="5">
        <f>IFERROR(Table1[[#This Row],[Total Conversions]]/Table1[[#This Row],[Clicks]],0)</f>
        <v>0.13636363636363635</v>
      </c>
      <c r="Q45" s="10">
        <f>IFERROR(Table1[[#This Row],[Gross Cost]]/Table1[[#This Row],[Total Conversions]],0)</f>
        <v>692.90145488888891</v>
      </c>
      <c r="R45" s="10">
        <f>IFERROR(Table1[[#This Row],[Gross Cost]]/(Table1[[#This Row],[Impressions]]/1000),0)</f>
        <v>590.26153279697121</v>
      </c>
      <c r="S45" s="5">
        <f>IFERROR(Table1[[#This Row],[Viewable Impressions]]/Table1[[#This Row],[Measurable Impressions]],0)</f>
        <v>0.61611280938763435</v>
      </c>
      <c r="T45" s="10">
        <f>IFERROR(1000*Table1[[#This Row],[Gross Cost]]/Table1[[#This Row],[Viewable Impressions]],0)</f>
        <v>998.09748623559551</v>
      </c>
      <c r="U45" s="10"/>
    </row>
    <row r="46" spans="1:21" x14ac:dyDescent="0.2">
      <c r="A46" t="s">
        <v>1000</v>
      </c>
      <c r="B46" t="s">
        <v>14</v>
      </c>
      <c r="C46" t="s">
        <v>22</v>
      </c>
      <c r="D46" t="s">
        <v>34</v>
      </c>
      <c r="E46" t="str">
        <f>TRIM(RIGHT(Table1[[#This Row],[Location]],LEN(Table1[[#This Row],[Location]])-FIND(",",Table1[[#This Row],[Location]])))</f>
        <v>Illinois</v>
      </c>
      <c r="F46" t="s">
        <v>991</v>
      </c>
      <c r="G46" t="s">
        <v>45</v>
      </c>
      <c r="H46" t="s">
        <v>19</v>
      </c>
      <c r="I46">
        <v>7584</v>
      </c>
      <c r="J46">
        <v>40</v>
      </c>
      <c r="K46">
        <v>3093</v>
      </c>
      <c r="L46">
        <v>6897</v>
      </c>
      <c r="M46">
        <v>2</v>
      </c>
      <c r="N46">
        <v>4467.0807580000001</v>
      </c>
      <c r="O46" s="7">
        <f>IFERROR(Table1[[#This Row],[Clicks]]/Table1[[#This Row],[Impressions]],0)</f>
        <v>5.2742616033755272E-3</v>
      </c>
      <c r="P46" s="5">
        <f>IFERROR(Table1[[#This Row],[Total Conversions]]/Table1[[#This Row],[Clicks]],0)</f>
        <v>0.05</v>
      </c>
      <c r="Q46" s="10">
        <f>IFERROR(Table1[[#This Row],[Gross Cost]]/Table1[[#This Row],[Total Conversions]],0)</f>
        <v>2233.540379</v>
      </c>
      <c r="R46" s="10">
        <f>IFERROR(Table1[[#This Row],[Gross Cost]]/(Table1[[#This Row],[Impressions]]/1000),0)</f>
        <v>589.01381302742618</v>
      </c>
      <c r="S46" s="5">
        <f>IFERROR(Table1[[#This Row],[Viewable Impressions]]/Table1[[#This Row],[Measurable Impressions]],0)</f>
        <v>0.44845585036972596</v>
      </c>
      <c r="T46" s="10">
        <f>IFERROR(1000*Table1[[#This Row],[Gross Cost]]/Table1[[#This Row],[Viewable Impressions]],0)</f>
        <v>1444.2550139023604</v>
      </c>
      <c r="U46" s="10"/>
    </row>
    <row r="47" spans="1:21" x14ac:dyDescent="0.2">
      <c r="A47" t="s">
        <v>504</v>
      </c>
      <c r="B47" t="s">
        <v>14</v>
      </c>
      <c r="C47" t="s">
        <v>22</v>
      </c>
      <c r="D47" t="s">
        <v>83</v>
      </c>
      <c r="E47" t="str">
        <f>TRIM(RIGHT(Table1[[#This Row],[Location]],LEN(Table1[[#This Row],[Location]])-FIND(",",Table1[[#This Row],[Location]])))</f>
        <v>Florida</v>
      </c>
      <c r="F47" t="s">
        <v>505</v>
      </c>
      <c r="G47" t="s">
        <v>45</v>
      </c>
      <c r="H47" t="s">
        <v>26</v>
      </c>
      <c r="I47">
        <v>9702</v>
      </c>
      <c r="J47">
        <v>40</v>
      </c>
      <c r="K47">
        <v>5564</v>
      </c>
      <c r="L47">
        <v>8210</v>
      </c>
      <c r="M47">
        <v>1</v>
      </c>
      <c r="N47">
        <v>5711.3920099999996</v>
      </c>
      <c r="O47" s="7">
        <f>IFERROR(Table1[[#This Row],[Clicks]]/Table1[[#This Row],[Impressions]],0)</f>
        <v>4.1228612657184084E-3</v>
      </c>
      <c r="P47" s="5">
        <f>IFERROR(Table1[[#This Row],[Total Conversions]]/Table1[[#This Row],[Clicks]],0)</f>
        <v>2.5000000000000001E-2</v>
      </c>
      <c r="Q47" s="10">
        <f>IFERROR(Table1[[#This Row],[Gross Cost]]/Table1[[#This Row],[Total Conversions]],0)</f>
        <v>5711.3920099999996</v>
      </c>
      <c r="R47" s="10">
        <f>IFERROR(Table1[[#This Row],[Gross Cost]]/(Table1[[#This Row],[Impressions]]/1000),0)</f>
        <v>588.68192228406508</v>
      </c>
      <c r="S47" s="5">
        <f>IFERROR(Table1[[#This Row],[Viewable Impressions]]/Table1[[#This Row],[Measurable Impressions]],0)</f>
        <v>0.67771010962241174</v>
      </c>
      <c r="T47" s="10">
        <f>IFERROR(1000*Table1[[#This Row],[Gross Cost]]/Table1[[#This Row],[Viewable Impressions]],0)</f>
        <v>1026.4902965492452</v>
      </c>
      <c r="U47" s="10"/>
    </row>
    <row r="48" spans="1:21" x14ac:dyDescent="0.2">
      <c r="A48" t="s">
        <v>380</v>
      </c>
      <c r="B48" t="s">
        <v>21</v>
      </c>
      <c r="C48" t="s">
        <v>15</v>
      </c>
      <c r="D48" t="s">
        <v>38</v>
      </c>
      <c r="E48" t="str">
        <f>TRIM(RIGHT(Table1[[#This Row],[Location]],LEN(Table1[[#This Row],[Location]])-FIND(",",Table1[[#This Row],[Location]])))</f>
        <v>Tennessee</v>
      </c>
      <c r="F48" t="s">
        <v>381</v>
      </c>
      <c r="G48" t="s">
        <v>18</v>
      </c>
      <c r="H48" t="s">
        <v>26</v>
      </c>
      <c r="I48">
        <v>9533</v>
      </c>
      <c r="J48">
        <v>66</v>
      </c>
      <c r="K48">
        <v>6548</v>
      </c>
      <c r="L48">
        <v>9042</v>
      </c>
      <c r="M48">
        <v>16</v>
      </c>
      <c r="N48">
        <v>5574.5435049999996</v>
      </c>
      <c r="O48" s="7">
        <f>IFERROR(Table1[[#This Row],[Clicks]]/Table1[[#This Row],[Impressions]],0)</f>
        <v>6.9233189971677333E-3</v>
      </c>
      <c r="P48" s="5">
        <f>IFERROR(Table1[[#This Row],[Total Conversions]]/Table1[[#This Row],[Clicks]],0)</f>
        <v>0.24242424242424243</v>
      </c>
      <c r="Q48" s="10">
        <f>IFERROR(Table1[[#This Row],[Gross Cost]]/Table1[[#This Row],[Total Conversions]],0)</f>
        <v>348.40896906249998</v>
      </c>
      <c r="R48" s="10">
        <f>IFERROR(Table1[[#This Row],[Gross Cost]]/(Table1[[#This Row],[Impressions]]/1000),0)</f>
        <v>584.76277195006821</v>
      </c>
      <c r="S48" s="5">
        <f>IFERROR(Table1[[#This Row],[Viewable Impressions]]/Table1[[#This Row],[Measurable Impressions]],0)</f>
        <v>0.72417606724176065</v>
      </c>
      <c r="T48" s="10">
        <f>IFERROR(1000*Table1[[#This Row],[Gross Cost]]/Table1[[#This Row],[Viewable Impressions]],0)</f>
        <v>851.33529398289556</v>
      </c>
      <c r="U48" s="10"/>
    </row>
    <row r="49" spans="1:21" x14ac:dyDescent="0.2">
      <c r="A49" t="s">
        <v>13</v>
      </c>
      <c r="B49" t="s">
        <v>14</v>
      </c>
      <c r="C49" t="s">
        <v>15</v>
      </c>
      <c r="D49" t="s">
        <v>16</v>
      </c>
      <c r="E49" t="str">
        <f>TRIM(RIGHT(Table1[[#This Row],[Location]],LEN(Table1[[#This Row],[Location]])-FIND(",",Table1[[#This Row],[Location]])))</f>
        <v>California</v>
      </c>
      <c r="F49" t="s">
        <v>17</v>
      </c>
      <c r="G49" t="s">
        <v>18</v>
      </c>
      <c r="H49" t="s">
        <v>19</v>
      </c>
      <c r="I49">
        <v>10524</v>
      </c>
      <c r="J49">
        <v>55</v>
      </c>
      <c r="K49">
        <v>7601</v>
      </c>
      <c r="L49">
        <v>10242</v>
      </c>
      <c r="M49">
        <v>11</v>
      </c>
      <c r="N49">
        <v>6136.1339019999996</v>
      </c>
      <c r="O49" s="7">
        <f>IFERROR(Table1[[#This Row],[Clicks]]/Table1[[#This Row],[Impressions]],0)</f>
        <v>5.2261497529456479E-3</v>
      </c>
      <c r="P49" s="5">
        <f>IFERROR(Table1[[#This Row],[Total Conversions]]/Table1[[#This Row],[Clicks]],0)</f>
        <v>0.2</v>
      </c>
      <c r="Q49" s="10">
        <f>IFERROR(Table1[[#This Row],[Gross Cost]]/Table1[[#This Row],[Total Conversions]],0)</f>
        <v>557.83035472727272</v>
      </c>
      <c r="R49" s="10">
        <f>IFERROR(Table1[[#This Row],[Gross Cost]]/(Table1[[#This Row],[Impressions]]/1000),0)</f>
        <v>583.06099410870388</v>
      </c>
      <c r="S49" s="5">
        <f>IFERROR(Table1[[#This Row],[Viewable Impressions]]/Table1[[#This Row],[Measurable Impressions]],0)</f>
        <v>0.74214020699082206</v>
      </c>
      <c r="T49" s="10">
        <f>IFERROR(1000*Table1[[#This Row],[Gross Cost]]/Table1[[#This Row],[Viewable Impressions]],0)</f>
        <v>807.27981870806468</v>
      </c>
      <c r="U49" s="10"/>
    </row>
    <row r="50" spans="1:21" x14ac:dyDescent="0.2">
      <c r="A50" t="s">
        <v>467</v>
      </c>
      <c r="B50" t="s">
        <v>14</v>
      </c>
      <c r="C50" t="s">
        <v>41</v>
      </c>
      <c r="D50" t="s">
        <v>16</v>
      </c>
      <c r="E50" t="str">
        <f>TRIM(RIGHT(Table1[[#This Row],[Location]],LEN(Table1[[#This Row],[Location]])-FIND(",",Table1[[#This Row],[Location]])))</f>
        <v>California</v>
      </c>
      <c r="F50" t="s">
        <v>468</v>
      </c>
      <c r="G50" t="s">
        <v>116</v>
      </c>
      <c r="H50" t="s">
        <v>26</v>
      </c>
      <c r="I50">
        <v>8273</v>
      </c>
      <c r="J50">
        <v>24</v>
      </c>
      <c r="K50">
        <v>1929</v>
      </c>
      <c r="L50">
        <v>7441</v>
      </c>
      <c r="M50">
        <v>3</v>
      </c>
      <c r="N50">
        <v>4689.5210239999997</v>
      </c>
      <c r="O50" s="7">
        <f>IFERROR(Table1[[#This Row],[Clicks]]/Table1[[#This Row],[Impressions]],0)</f>
        <v>2.9010032636286715E-3</v>
      </c>
      <c r="P50" s="5">
        <f>IFERROR(Table1[[#This Row],[Total Conversions]]/Table1[[#This Row],[Clicks]],0)</f>
        <v>0.125</v>
      </c>
      <c r="Q50" s="10">
        <f>IFERROR(Table1[[#This Row],[Gross Cost]]/Table1[[#This Row],[Total Conversions]],0)</f>
        <v>1563.1736746666666</v>
      </c>
      <c r="R50" s="10">
        <f>IFERROR(Table1[[#This Row],[Gross Cost]]/(Table1[[#This Row],[Impressions]]/1000),0)</f>
        <v>566.84649147830294</v>
      </c>
      <c r="S50" s="5">
        <f>IFERROR(Table1[[#This Row],[Viewable Impressions]]/Table1[[#This Row],[Measurable Impressions]],0)</f>
        <v>0.25923934954979172</v>
      </c>
      <c r="T50" s="10">
        <f>IFERROR(1000*Table1[[#This Row],[Gross Cost]]/Table1[[#This Row],[Viewable Impressions]],0)</f>
        <v>2431.0632576464486</v>
      </c>
      <c r="U50" s="10"/>
    </row>
    <row r="51" spans="1:21" x14ac:dyDescent="0.2">
      <c r="A51" t="s">
        <v>969</v>
      </c>
      <c r="B51" t="s">
        <v>60</v>
      </c>
      <c r="C51" t="s">
        <v>15</v>
      </c>
      <c r="D51" t="s">
        <v>77</v>
      </c>
      <c r="E51" t="str">
        <f>TRIM(RIGHT(Table1[[#This Row],[Location]],LEN(Table1[[#This Row],[Location]])-FIND(",",Table1[[#This Row],[Location]])))</f>
        <v>New York</v>
      </c>
      <c r="F51" t="s">
        <v>968</v>
      </c>
      <c r="G51" t="s">
        <v>25</v>
      </c>
      <c r="H51" t="s">
        <v>26</v>
      </c>
      <c r="I51">
        <v>11789</v>
      </c>
      <c r="J51">
        <v>20</v>
      </c>
      <c r="K51">
        <v>6187</v>
      </c>
      <c r="L51">
        <v>10028</v>
      </c>
      <c r="M51">
        <v>3</v>
      </c>
      <c r="N51">
        <v>6505.5264559999996</v>
      </c>
      <c r="O51" s="7">
        <f>IFERROR(Table1[[#This Row],[Clicks]]/Table1[[#This Row],[Impressions]],0)</f>
        <v>1.6964967342437867E-3</v>
      </c>
      <c r="P51" s="5">
        <f>IFERROR(Table1[[#This Row],[Total Conversions]]/Table1[[#This Row],[Clicks]],0)</f>
        <v>0.15</v>
      </c>
      <c r="Q51" s="10">
        <f>IFERROR(Table1[[#This Row],[Gross Cost]]/Table1[[#This Row],[Total Conversions]],0)</f>
        <v>2168.5088186666667</v>
      </c>
      <c r="R51" s="10">
        <f>IFERROR(Table1[[#This Row],[Gross Cost]]/(Table1[[#This Row],[Impressions]]/1000),0)</f>
        <v>551.83021935702777</v>
      </c>
      <c r="S51" s="5">
        <f>IFERROR(Table1[[#This Row],[Viewable Impressions]]/Table1[[#This Row],[Measurable Impressions]],0)</f>
        <v>0.6169724770642202</v>
      </c>
      <c r="T51" s="10">
        <f>IFERROR(1000*Table1[[#This Row],[Gross Cost]]/Table1[[#This Row],[Viewable Impressions]],0)</f>
        <v>1051.4831834491674</v>
      </c>
      <c r="U51" s="10"/>
    </row>
    <row r="52" spans="1:21" x14ac:dyDescent="0.2">
      <c r="A52" t="s">
        <v>563</v>
      </c>
      <c r="B52" t="s">
        <v>60</v>
      </c>
      <c r="C52" t="s">
        <v>22</v>
      </c>
      <c r="D52" t="s">
        <v>77</v>
      </c>
      <c r="E52" t="str">
        <f>TRIM(RIGHT(Table1[[#This Row],[Location]],LEN(Table1[[#This Row],[Location]])-FIND(",",Table1[[#This Row],[Location]])))</f>
        <v>New York</v>
      </c>
      <c r="F52" t="s">
        <v>564</v>
      </c>
      <c r="G52" t="s">
        <v>116</v>
      </c>
      <c r="H52" t="s">
        <v>26</v>
      </c>
      <c r="I52">
        <v>11734</v>
      </c>
      <c r="J52">
        <v>78</v>
      </c>
      <c r="K52">
        <v>8741</v>
      </c>
      <c r="L52">
        <v>10606</v>
      </c>
      <c r="M52">
        <v>5</v>
      </c>
      <c r="N52">
        <v>6439.2834979999998</v>
      </c>
      <c r="O52" s="7">
        <f>IFERROR(Table1[[#This Row],[Clicks]]/Table1[[#This Row],[Impressions]],0)</f>
        <v>6.6473495824100901E-3</v>
      </c>
      <c r="P52" s="5">
        <f>IFERROR(Table1[[#This Row],[Total Conversions]]/Table1[[#This Row],[Clicks]],0)</f>
        <v>6.4102564102564097E-2</v>
      </c>
      <c r="Q52" s="10">
        <f>IFERROR(Table1[[#This Row],[Gross Cost]]/Table1[[#This Row],[Total Conversions]],0)</f>
        <v>1287.8566996</v>
      </c>
      <c r="R52" s="10">
        <f>IFERROR(Table1[[#This Row],[Gross Cost]]/(Table1[[#This Row],[Impressions]]/1000),0)</f>
        <v>548.7713906596216</v>
      </c>
      <c r="S52" s="5">
        <f>IFERROR(Table1[[#This Row],[Viewable Impressions]]/Table1[[#This Row],[Measurable Impressions]],0)</f>
        <v>0.82415613803507448</v>
      </c>
      <c r="T52" s="10">
        <f>IFERROR(1000*Table1[[#This Row],[Gross Cost]]/Table1[[#This Row],[Viewable Impressions]],0)</f>
        <v>736.67583777599816</v>
      </c>
      <c r="U52" s="10"/>
    </row>
    <row r="53" spans="1:21" x14ac:dyDescent="0.2">
      <c r="A53" t="s">
        <v>843</v>
      </c>
      <c r="B53" t="s">
        <v>21</v>
      </c>
      <c r="C53" t="s">
        <v>22</v>
      </c>
      <c r="D53" t="s">
        <v>34</v>
      </c>
      <c r="E53" t="str">
        <f>TRIM(RIGHT(Table1[[#This Row],[Location]],LEN(Table1[[#This Row],[Location]])-FIND(",",Table1[[#This Row],[Location]])))</f>
        <v>Illinois</v>
      </c>
      <c r="F53" t="s">
        <v>844</v>
      </c>
      <c r="G53" t="s">
        <v>18</v>
      </c>
      <c r="H53" t="s">
        <v>26</v>
      </c>
      <c r="I53">
        <v>9153</v>
      </c>
      <c r="J53">
        <v>23</v>
      </c>
      <c r="K53">
        <v>4345</v>
      </c>
      <c r="L53">
        <v>8376</v>
      </c>
      <c r="M53">
        <v>14</v>
      </c>
      <c r="N53">
        <v>5007.5258050000002</v>
      </c>
      <c r="O53" s="7">
        <f>IFERROR(Table1[[#This Row],[Clicks]]/Table1[[#This Row],[Impressions]],0)</f>
        <v>2.5128373210969081E-3</v>
      </c>
      <c r="P53" s="5">
        <f>IFERROR(Table1[[#This Row],[Total Conversions]]/Table1[[#This Row],[Clicks]],0)</f>
        <v>0.60869565217391308</v>
      </c>
      <c r="Q53" s="10">
        <f>IFERROR(Table1[[#This Row],[Gross Cost]]/Table1[[#This Row],[Total Conversions]],0)</f>
        <v>357.68041464285716</v>
      </c>
      <c r="R53" s="10">
        <f>IFERROR(Table1[[#This Row],[Gross Cost]]/(Table1[[#This Row],[Impressions]]/1000),0)</f>
        <v>547.09120561564509</v>
      </c>
      <c r="S53" s="5">
        <f>IFERROR(Table1[[#This Row],[Viewable Impressions]]/Table1[[#This Row],[Measurable Impressions]],0)</f>
        <v>0.51874403056351481</v>
      </c>
      <c r="T53" s="10">
        <f>IFERROR(1000*Table1[[#This Row],[Gross Cost]]/Table1[[#This Row],[Viewable Impressions]],0)</f>
        <v>1152.4800471806675</v>
      </c>
      <c r="U53" s="10"/>
    </row>
    <row r="54" spans="1:21" x14ac:dyDescent="0.2">
      <c r="A54" t="s">
        <v>243</v>
      </c>
      <c r="B54" t="s">
        <v>21</v>
      </c>
      <c r="C54" t="s">
        <v>30</v>
      </c>
      <c r="D54" t="s">
        <v>16</v>
      </c>
      <c r="E54" t="str">
        <f>TRIM(RIGHT(Table1[[#This Row],[Location]],LEN(Table1[[#This Row],[Location]])-FIND(",",Table1[[#This Row],[Location]])))</f>
        <v>California</v>
      </c>
      <c r="F54" t="s">
        <v>241</v>
      </c>
      <c r="G54" t="s">
        <v>25</v>
      </c>
      <c r="H54" t="s">
        <v>26</v>
      </c>
      <c r="I54">
        <v>9060</v>
      </c>
      <c r="J54">
        <v>30</v>
      </c>
      <c r="K54">
        <v>5190</v>
      </c>
      <c r="L54">
        <v>8621</v>
      </c>
      <c r="M54">
        <v>14</v>
      </c>
      <c r="N54">
        <v>4934.8515630000002</v>
      </c>
      <c r="O54" s="7">
        <f>IFERROR(Table1[[#This Row],[Clicks]]/Table1[[#This Row],[Impressions]],0)</f>
        <v>3.3112582781456954E-3</v>
      </c>
      <c r="P54" s="5">
        <f>IFERROR(Table1[[#This Row],[Total Conversions]]/Table1[[#This Row],[Clicks]],0)</f>
        <v>0.46666666666666667</v>
      </c>
      <c r="Q54" s="10">
        <f>IFERROR(Table1[[#This Row],[Gross Cost]]/Table1[[#This Row],[Total Conversions]],0)</f>
        <v>352.48939735714288</v>
      </c>
      <c r="R54" s="10">
        <f>IFERROR(Table1[[#This Row],[Gross Cost]]/(Table1[[#This Row],[Impressions]]/1000),0)</f>
        <v>544.68560298013244</v>
      </c>
      <c r="S54" s="5">
        <f>IFERROR(Table1[[#This Row],[Viewable Impressions]]/Table1[[#This Row],[Measurable Impressions]],0)</f>
        <v>0.60201832734021576</v>
      </c>
      <c r="T54" s="10">
        <f>IFERROR(1000*Table1[[#This Row],[Gross Cost]]/Table1[[#This Row],[Viewable Impressions]],0)</f>
        <v>950.83845144508678</v>
      </c>
      <c r="U54" s="10"/>
    </row>
    <row r="55" spans="1:21" x14ac:dyDescent="0.2">
      <c r="A55" t="s">
        <v>857</v>
      </c>
      <c r="B55" t="s">
        <v>14</v>
      </c>
      <c r="C55" t="s">
        <v>41</v>
      </c>
      <c r="D55" t="s">
        <v>34</v>
      </c>
      <c r="E55" t="str">
        <f>TRIM(RIGHT(Table1[[#This Row],[Location]],LEN(Table1[[#This Row],[Location]])-FIND(",",Table1[[#This Row],[Location]])))</f>
        <v>Illinois</v>
      </c>
      <c r="F55" t="s">
        <v>858</v>
      </c>
      <c r="G55" t="s">
        <v>35</v>
      </c>
      <c r="H55" t="s">
        <v>26</v>
      </c>
      <c r="I55">
        <v>11417</v>
      </c>
      <c r="J55">
        <v>78</v>
      </c>
      <c r="K55">
        <v>1387</v>
      </c>
      <c r="L55">
        <v>9924</v>
      </c>
      <c r="M55">
        <v>9</v>
      </c>
      <c r="N55">
        <v>6206.6371079999999</v>
      </c>
      <c r="O55" s="7">
        <f>IFERROR(Table1[[#This Row],[Clicks]]/Table1[[#This Row],[Impressions]],0)</f>
        <v>6.831917316282736E-3</v>
      </c>
      <c r="P55" s="5">
        <f>IFERROR(Table1[[#This Row],[Total Conversions]]/Table1[[#This Row],[Clicks]],0)</f>
        <v>0.11538461538461539</v>
      </c>
      <c r="Q55" s="10">
        <f>IFERROR(Table1[[#This Row],[Gross Cost]]/Table1[[#This Row],[Total Conversions]],0)</f>
        <v>689.62634533333335</v>
      </c>
      <c r="R55" s="10">
        <f>IFERROR(Table1[[#This Row],[Gross Cost]]/(Table1[[#This Row],[Impressions]]/1000),0)</f>
        <v>543.63117351318215</v>
      </c>
      <c r="S55" s="5">
        <f>IFERROR(Table1[[#This Row],[Viewable Impressions]]/Table1[[#This Row],[Measurable Impressions]],0)</f>
        <v>0.13976219266424827</v>
      </c>
      <c r="T55" s="10">
        <f>IFERROR(1000*Table1[[#This Row],[Gross Cost]]/Table1[[#This Row],[Viewable Impressions]],0)</f>
        <v>4474.8645335255951</v>
      </c>
      <c r="U55" s="10"/>
    </row>
    <row r="56" spans="1:21" x14ac:dyDescent="0.2">
      <c r="A56" t="s">
        <v>420</v>
      </c>
      <c r="B56" t="s">
        <v>14</v>
      </c>
      <c r="C56" t="s">
        <v>41</v>
      </c>
      <c r="D56" t="s">
        <v>38</v>
      </c>
      <c r="E56" t="str">
        <f>TRIM(RIGHT(Table1[[#This Row],[Location]],LEN(Table1[[#This Row],[Location]])-FIND(",",Table1[[#This Row],[Location]])))</f>
        <v>Tennessee</v>
      </c>
      <c r="F56" t="s">
        <v>421</v>
      </c>
      <c r="G56" t="s">
        <v>18</v>
      </c>
      <c r="H56" t="s">
        <v>26</v>
      </c>
      <c r="I56">
        <v>9273</v>
      </c>
      <c r="J56">
        <v>70</v>
      </c>
      <c r="K56">
        <v>4648</v>
      </c>
      <c r="L56">
        <v>8751</v>
      </c>
      <c r="M56">
        <v>5</v>
      </c>
      <c r="N56">
        <v>4986.51937</v>
      </c>
      <c r="O56" s="7">
        <f>IFERROR(Table1[[#This Row],[Clicks]]/Table1[[#This Row],[Impressions]],0)</f>
        <v>7.5487975843847727E-3</v>
      </c>
      <c r="P56" s="5">
        <f>IFERROR(Table1[[#This Row],[Total Conversions]]/Table1[[#This Row],[Clicks]],0)</f>
        <v>7.1428571428571425E-2</v>
      </c>
      <c r="Q56" s="10">
        <f>IFERROR(Table1[[#This Row],[Gross Cost]]/Table1[[#This Row],[Total Conversions]],0)</f>
        <v>997.30387399999995</v>
      </c>
      <c r="R56" s="10">
        <f>IFERROR(Table1[[#This Row],[Gross Cost]]/(Table1[[#This Row],[Impressions]]/1000),0)</f>
        <v>537.74607678205541</v>
      </c>
      <c r="S56" s="5">
        <f>IFERROR(Table1[[#This Row],[Viewable Impressions]]/Table1[[#This Row],[Measurable Impressions]],0)</f>
        <v>0.53113929836590101</v>
      </c>
      <c r="T56" s="10">
        <f>IFERROR(1000*Table1[[#This Row],[Gross Cost]]/Table1[[#This Row],[Viewable Impressions]],0)</f>
        <v>1072.8311897590361</v>
      </c>
      <c r="U56" s="10"/>
    </row>
    <row r="57" spans="1:21" x14ac:dyDescent="0.2">
      <c r="A57" t="s">
        <v>158</v>
      </c>
      <c r="B57" t="s">
        <v>21</v>
      </c>
      <c r="C57" t="s">
        <v>15</v>
      </c>
      <c r="D57" t="s">
        <v>38</v>
      </c>
      <c r="E57" t="str">
        <f>TRIM(RIGHT(Table1[[#This Row],[Location]],LEN(Table1[[#This Row],[Location]])-FIND(",",Table1[[#This Row],[Location]])))</f>
        <v>Tennessee</v>
      </c>
      <c r="F57" t="s">
        <v>159</v>
      </c>
      <c r="G57" t="s">
        <v>160</v>
      </c>
      <c r="H57" t="s">
        <v>26</v>
      </c>
      <c r="I57">
        <v>11919</v>
      </c>
      <c r="J57">
        <v>69</v>
      </c>
      <c r="K57">
        <v>8100</v>
      </c>
      <c r="L57">
        <v>11524</v>
      </c>
      <c r="M57">
        <v>2</v>
      </c>
      <c r="N57">
        <v>6350.916905</v>
      </c>
      <c r="O57" s="7">
        <f>IFERROR(Table1[[#This Row],[Clicks]]/Table1[[#This Row],[Impressions]],0)</f>
        <v>5.7890762647873142E-3</v>
      </c>
      <c r="P57" s="5">
        <f>IFERROR(Table1[[#This Row],[Total Conversions]]/Table1[[#This Row],[Clicks]],0)</f>
        <v>2.8985507246376812E-2</v>
      </c>
      <c r="Q57" s="10">
        <f>IFERROR(Table1[[#This Row],[Gross Cost]]/Table1[[#This Row],[Total Conversions]],0)</f>
        <v>3175.4584525</v>
      </c>
      <c r="R57" s="10">
        <f>IFERROR(Table1[[#This Row],[Gross Cost]]/(Table1[[#This Row],[Impressions]]/1000),0)</f>
        <v>532.83974368655083</v>
      </c>
      <c r="S57" s="5">
        <f>IFERROR(Table1[[#This Row],[Viewable Impressions]]/Table1[[#This Row],[Measurable Impressions]],0)</f>
        <v>0.70288094411662616</v>
      </c>
      <c r="T57" s="10">
        <f>IFERROR(1000*Table1[[#This Row],[Gross Cost]]/Table1[[#This Row],[Viewable Impressions]],0)</f>
        <v>784.06381543209875</v>
      </c>
      <c r="U57" s="10"/>
    </row>
    <row r="58" spans="1:21" x14ac:dyDescent="0.2">
      <c r="A58" t="s">
        <v>1025</v>
      </c>
      <c r="B58" t="s">
        <v>60</v>
      </c>
      <c r="C58" t="s">
        <v>15</v>
      </c>
      <c r="D58" t="s">
        <v>54</v>
      </c>
      <c r="E58" t="str">
        <f>TRIM(RIGHT(Table1[[#This Row],[Location]],LEN(Table1[[#This Row],[Location]])-FIND(",",Table1[[#This Row],[Location]])))</f>
        <v>Florida</v>
      </c>
      <c r="F58" t="s">
        <v>1026</v>
      </c>
      <c r="G58" t="s">
        <v>18</v>
      </c>
      <c r="H58" t="s">
        <v>26</v>
      </c>
      <c r="I58">
        <v>10906</v>
      </c>
      <c r="J58">
        <v>46</v>
      </c>
      <c r="K58">
        <v>4735</v>
      </c>
      <c r="L58">
        <v>6390</v>
      </c>
      <c r="M58">
        <v>3</v>
      </c>
      <c r="N58">
        <v>5694.2709400000003</v>
      </c>
      <c r="O58" s="7">
        <f>IFERROR(Table1[[#This Row],[Clicks]]/Table1[[#This Row],[Impressions]],0)</f>
        <v>4.2178617274894557E-3</v>
      </c>
      <c r="P58" s="5">
        <f>IFERROR(Table1[[#This Row],[Total Conversions]]/Table1[[#This Row],[Clicks]],0)</f>
        <v>6.5217391304347824E-2</v>
      </c>
      <c r="Q58" s="10">
        <f>IFERROR(Table1[[#This Row],[Gross Cost]]/Table1[[#This Row],[Total Conversions]],0)</f>
        <v>1898.0903133333334</v>
      </c>
      <c r="R58" s="10">
        <f>IFERROR(Table1[[#This Row],[Gross Cost]]/(Table1[[#This Row],[Impressions]]/1000),0)</f>
        <v>522.12277095176967</v>
      </c>
      <c r="S58" s="5">
        <f>IFERROR(Table1[[#This Row],[Viewable Impressions]]/Table1[[#This Row],[Measurable Impressions]],0)</f>
        <v>0.74100156494522695</v>
      </c>
      <c r="T58" s="10">
        <f>IFERROR(1000*Table1[[#This Row],[Gross Cost]]/Table1[[#This Row],[Viewable Impressions]],0)</f>
        <v>1202.5915395987329</v>
      </c>
      <c r="U58" s="10"/>
    </row>
    <row r="59" spans="1:21" x14ac:dyDescent="0.2">
      <c r="A59" t="s">
        <v>382</v>
      </c>
      <c r="B59" t="s">
        <v>14</v>
      </c>
      <c r="C59" t="s">
        <v>22</v>
      </c>
      <c r="D59" t="s">
        <v>94</v>
      </c>
      <c r="E59" t="str">
        <f>TRIM(RIGHT(Table1[[#This Row],[Location]],LEN(Table1[[#This Row],[Location]])-FIND(",",Table1[[#This Row],[Location]])))</f>
        <v>Florida</v>
      </c>
      <c r="F59" t="s">
        <v>383</v>
      </c>
      <c r="G59" t="s">
        <v>45</v>
      </c>
      <c r="H59" t="s">
        <v>26</v>
      </c>
      <c r="I59">
        <v>12092</v>
      </c>
      <c r="J59">
        <v>30</v>
      </c>
      <c r="K59">
        <v>2042</v>
      </c>
      <c r="L59">
        <v>10315</v>
      </c>
      <c r="M59">
        <v>8</v>
      </c>
      <c r="N59">
        <v>6245.1347930000002</v>
      </c>
      <c r="O59" s="7">
        <f>IFERROR(Table1[[#This Row],[Clicks]]/Table1[[#This Row],[Impressions]],0)</f>
        <v>2.4809791597750577E-3</v>
      </c>
      <c r="P59" s="5">
        <f>IFERROR(Table1[[#This Row],[Total Conversions]]/Table1[[#This Row],[Clicks]],0)</f>
        <v>0.26666666666666666</v>
      </c>
      <c r="Q59" s="10">
        <f>IFERROR(Table1[[#This Row],[Gross Cost]]/Table1[[#This Row],[Total Conversions]],0)</f>
        <v>780.64184912500002</v>
      </c>
      <c r="R59" s="10">
        <f>IFERROR(Table1[[#This Row],[Gross Cost]]/(Table1[[#This Row],[Impressions]]/1000),0)</f>
        <v>516.46830904730405</v>
      </c>
      <c r="S59" s="5">
        <f>IFERROR(Table1[[#This Row],[Viewable Impressions]]/Table1[[#This Row],[Measurable Impressions]],0)</f>
        <v>0.1979641299079011</v>
      </c>
      <c r="T59" s="10">
        <f>IFERROR(1000*Table1[[#This Row],[Gross Cost]]/Table1[[#This Row],[Viewable Impressions]],0)</f>
        <v>3058.3422100881489</v>
      </c>
      <c r="U59" s="10"/>
    </row>
    <row r="60" spans="1:21" x14ac:dyDescent="0.2">
      <c r="A60" t="s">
        <v>567</v>
      </c>
      <c r="B60" t="s">
        <v>14</v>
      </c>
      <c r="C60" t="s">
        <v>15</v>
      </c>
      <c r="D60" t="s">
        <v>34</v>
      </c>
      <c r="E60" t="str">
        <f>TRIM(RIGHT(Table1[[#This Row],[Location]],LEN(Table1[[#This Row],[Location]])-FIND(",",Table1[[#This Row],[Location]])))</f>
        <v>Illinois</v>
      </c>
      <c r="F60" t="s">
        <v>568</v>
      </c>
      <c r="G60" t="s">
        <v>183</v>
      </c>
      <c r="H60" t="s">
        <v>26</v>
      </c>
      <c r="I60">
        <v>9725</v>
      </c>
      <c r="J60">
        <v>80</v>
      </c>
      <c r="K60">
        <v>6616</v>
      </c>
      <c r="L60">
        <v>8778</v>
      </c>
      <c r="M60">
        <v>1</v>
      </c>
      <c r="N60">
        <v>4942.2839869999998</v>
      </c>
      <c r="O60" s="7">
        <f>IFERROR(Table1[[#This Row],[Clicks]]/Table1[[#This Row],[Impressions]],0)</f>
        <v>8.2262210796915161E-3</v>
      </c>
      <c r="P60" s="5">
        <f>IFERROR(Table1[[#This Row],[Total Conversions]]/Table1[[#This Row],[Clicks]],0)</f>
        <v>1.2500000000000001E-2</v>
      </c>
      <c r="Q60" s="10">
        <f>IFERROR(Table1[[#This Row],[Gross Cost]]/Table1[[#This Row],[Total Conversions]],0)</f>
        <v>4942.2839869999998</v>
      </c>
      <c r="R60" s="10">
        <f>IFERROR(Table1[[#This Row],[Gross Cost]]/(Table1[[#This Row],[Impressions]]/1000),0)</f>
        <v>508.20400894601545</v>
      </c>
      <c r="S60" s="5">
        <f>IFERROR(Table1[[#This Row],[Viewable Impressions]]/Table1[[#This Row],[Measurable Impressions]],0)</f>
        <v>0.75370243791296421</v>
      </c>
      <c r="T60" s="10">
        <f>IFERROR(1000*Table1[[#This Row],[Gross Cost]]/Table1[[#This Row],[Viewable Impressions]],0)</f>
        <v>747.0199496674727</v>
      </c>
      <c r="U60" s="10"/>
    </row>
    <row r="61" spans="1:21" x14ac:dyDescent="0.2">
      <c r="A61" t="s">
        <v>775</v>
      </c>
      <c r="B61" t="s">
        <v>21</v>
      </c>
      <c r="C61" t="s">
        <v>22</v>
      </c>
      <c r="D61" t="s">
        <v>776</v>
      </c>
      <c r="E61" t="str">
        <f>TRIM(RIGHT(Table1[[#This Row],[Location]],LEN(Table1[[#This Row],[Location]])-FIND(",",Table1[[#This Row],[Location]])))</f>
        <v>Arkansas</v>
      </c>
      <c r="F61" t="s">
        <v>777</v>
      </c>
      <c r="G61" t="s">
        <v>35</v>
      </c>
      <c r="H61" t="s">
        <v>26</v>
      </c>
      <c r="I61">
        <v>9319</v>
      </c>
      <c r="J61">
        <v>30</v>
      </c>
      <c r="K61">
        <v>6193</v>
      </c>
      <c r="L61">
        <v>8682</v>
      </c>
      <c r="M61">
        <v>12</v>
      </c>
      <c r="N61">
        <v>4594.6040030000004</v>
      </c>
      <c r="O61" s="7">
        <f>IFERROR(Table1[[#This Row],[Clicks]]/Table1[[#This Row],[Impressions]],0)</f>
        <v>3.2192295310655649E-3</v>
      </c>
      <c r="P61" s="5">
        <f>IFERROR(Table1[[#This Row],[Total Conversions]]/Table1[[#This Row],[Clicks]],0)</f>
        <v>0.4</v>
      </c>
      <c r="Q61" s="10">
        <f>IFERROR(Table1[[#This Row],[Gross Cost]]/Table1[[#This Row],[Total Conversions]],0)</f>
        <v>382.8836669166667</v>
      </c>
      <c r="R61" s="10">
        <f>IFERROR(Table1[[#This Row],[Gross Cost]]/(Table1[[#This Row],[Impressions]]/1000),0)</f>
        <v>493.03616300032189</v>
      </c>
      <c r="S61" s="5">
        <f>IFERROR(Table1[[#This Row],[Viewable Impressions]]/Table1[[#This Row],[Measurable Impressions]],0)</f>
        <v>0.71331490439990786</v>
      </c>
      <c r="T61" s="10">
        <f>IFERROR(1000*Table1[[#This Row],[Gross Cost]]/Table1[[#This Row],[Viewable Impressions]],0)</f>
        <v>741.90279396092376</v>
      </c>
      <c r="U61" s="10"/>
    </row>
    <row r="62" spans="1:21" x14ac:dyDescent="0.2">
      <c r="A62" t="s">
        <v>620</v>
      </c>
      <c r="B62" t="s">
        <v>14</v>
      </c>
      <c r="C62" t="s">
        <v>30</v>
      </c>
      <c r="D62" t="s">
        <v>65</v>
      </c>
      <c r="E62" t="str">
        <f>TRIM(RIGHT(Table1[[#This Row],[Location]],LEN(Table1[[#This Row],[Location]])-FIND(",",Table1[[#This Row],[Location]])))</f>
        <v>Florida</v>
      </c>
      <c r="F62" t="s">
        <v>611</v>
      </c>
      <c r="G62" t="s">
        <v>45</v>
      </c>
      <c r="H62" t="s">
        <v>26</v>
      </c>
      <c r="I62">
        <v>12974</v>
      </c>
      <c r="J62">
        <v>84</v>
      </c>
      <c r="K62">
        <v>7521</v>
      </c>
      <c r="L62">
        <v>10959</v>
      </c>
      <c r="M62">
        <v>7</v>
      </c>
      <c r="N62">
        <v>6301.8688469999997</v>
      </c>
      <c r="O62" s="7">
        <f>IFERROR(Table1[[#This Row],[Clicks]]/Table1[[#This Row],[Impressions]],0)</f>
        <v>6.474487436411284E-3</v>
      </c>
      <c r="P62" s="5">
        <f>IFERROR(Table1[[#This Row],[Total Conversions]]/Table1[[#This Row],[Clicks]],0)</f>
        <v>8.3333333333333329E-2</v>
      </c>
      <c r="Q62" s="10">
        <f>IFERROR(Table1[[#This Row],[Gross Cost]]/Table1[[#This Row],[Total Conversions]],0)</f>
        <v>900.26697814285706</v>
      </c>
      <c r="R62" s="10">
        <f>IFERROR(Table1[[#This Row],[Gross Cost]]/(Table1[[#This Row],[Impressions]]/1000),0)</f>
        <v>485.73060328349004</v>
      </c>
      <c r="S62" s="5">
        <f>IFERROR(Table1[[#This Row],[Viewable Impressions]]/Table1[[#This Row],[Measurable Impressions]],0)</f>
        <v>0.68628524500410626</v>
      </c>
      <c r="T62" s="10">
        <f>IFERROR(1000*Table1[[#This Row],[Gross Cost]]/Table1[[#This Row],[Viewable Impressions]],0)</f>
        <v>837.90305105704033</v>
      </c>
      <c r="U62" s="10"/>
    </row>
    <row r="63" spans="1:21" x14ac:dyDescent="0.2">
      <c r="A63" t="s">
        <v>274</v>
      </c>
      <c r="B63" t="s">
        <v>21</v>
      </c>
      <c r="C63" t="s">
        <v>15</v>
      </c>
      <c r="D63" t="s">
        <v>54</v>
      </c>
      <c r="E63" t="str">
        <f>TRIM(RIGHT(Table1[[#This Row],[Location]],LEN(Table1[[#This Row],[Location]])-FIND(",",Table1[[#This Row],[Location]])))</f>
        <v>Florida</v>
      </c>
      <c r="F63" t="s">
        <v>275</v>
      </c>
      <c r="G63" t="s">
        <v>47</v>
      </c>
      <c r="H63" t="s">
        <v>26</v>
      </c>
      <c r="I63">
        <v>14553</v>
      </c>
      <c r="J63">
        <v>47</v>
      </c>
      <c r="K63">
        <v>6119</v>
      </c>
      <c r="L63">
        <v>12505</v>
      </c>
      <c r="M63">
        <v>11</v>
      </c>
      <c r="N63">
        <v>6968.00047</v>
      </c>
      <c r="O63" s="7">
        <f>IFERROR(Table1[[#This Row],[Clicks]]/Table1[[#This Row],[Impressions]],0)</f>
        <v>3.2295746581460869E-3</v>
      </c>
      <c r="P63" s="5">
        <f>IFERROR(Table1[[#This Row],[Total Conversions]]/Table1[[#This Row],[Clicks]],0)</f>
        <v>0.23404255319148937</v>
      </c>
      <c r="Q63" s="10">
        <f>IFERROR(Table1[[#This Row],[Gross Cost]]/Table1[[#This Row],[Total Conversions]],0)</f>
        <v>633.45458818181817</v>
      </c>
      <c r="R63" s="10">
        <f>IFERROR(Table1[[#This Row],[Gross Cost]]/(Table1[[#This Row],[Impressions]]/1000),0)</f>
        <v>478.80165395451104</v>
      </c>
      <c r="S63" s="5">
        <f>IFERROR(Table1[[#This Row],[Viewable Impressions]]/Table1[[#This Row],[Measurable Impressions]],0)</f>
        <v>0.48932427029188325</v>
      </c>
      <c r="T63" s="10">
        <f>IFERROR(1000*Table1[[#This Row],[Gross Cost]]/Table1[[#This Row],[Viewable Impressions]],0)</f>
        <v>1138.7482382742278</v>
      </c>
      <c r="U63" s="10"/>
    </row>
    <row r="64" spans="1:21" x14ac:dyDescent="0.2">
      <c r="A64" t="s">
        <v>515</v>
      </c>
      <c r="B64" t="s">
        <v>21</v>
      </c>
      <c r="C64" t="s">
        <v>41</v>
      </c>
      <c r="D64" t="s">
        <v>172</v>
      </c>
      <c r="E64" t="str">
        <f>TRIM(RIGHT(Table1[[#This Row],[Location]],LEN(Table1[[#This Row],[Location]])-FIND(",",Table1[[#This Row],[Location]])))</f>
        <v>Tennessee</v>
      </c>
      <c r="F64" t="s">
        <v>514</v>
      </c>
      <c r="G64" t="s">
        <v>25</v>
      </c>
      <c r="H64" t="s">
        <v>26</v>
      </c>
      <c r="I64">
        <v>12214</v>
      </c>
      <c r="J64">
        <v>50</v>
      </c>
      <c r="K64">
        <v>5376</v>
      </c>
      <c r="L64">
        <v>11490</v>
      </c>
      <c r="M64">
        <v>7</v>
      </c>
      <c r="N64">
        <v>5616.3094019999999</v>
      </c>
      <c r="O64" s="7">
        <f>IFERROR(Table1[[#This Row],[Clicks]]/Table1[[#This Row],[Impressions]],0)</f>
        <v>4.0936630096610445E-3</v>
      </c>
      <c r="P64" s="5">
        <f>IFERROR(Table1[[#This Row],[Total Conversions]]/Table1[[#This Row],[Clicks]],0)</f>
        <v>0.14000000000000001</v>
      </c>
      <c r="Q64" s="10">
        <f>IFERROR(Table1[[#This Row],[Gross Cost]]/Table1[[#This Row],[Total Conversions]],0)</f>
        <v>802.3299145714285</v>
      </c>
      <c r="R64" s="10">
        <f>IFERROR(Table1[[#This Row],[Gross Cost]]/(Table1[[#This Row],[Impressions]]/1000),0)</f>
        <v>459.82556099557883</v>
      </c>
      <c r="S64" s="5">
        <f>IFERROR(Table1[[#This Row],[Viewable Impressions]]/Table1[[#This Row],[Measurable Impressions]],0)</f>
        <v>0.46788511749347256</v>
      </c>
      <c r="T64" s="10">
        <f>IFERROR(1000*Table1[[#This Row],[Gross Cost]]/Table1[[#This Row],[Viewable Impressions]],0)</f>
        <v>1044.7004095982143</v>
      </c>
      <c r="U64" s="10"/>
    </row>
    <row r="65" spans="1:21" x14ac:dyDescent="0.2">
      <c r="A65" t="s">
        <v>750</v>
      </c>
      <c r="B65" t="s">
        <v>14</v>
      </c>
      <c r="C65" t="s">
        <v>41</v>
      </c>
      <c r="D65" t="s">
        <v>34</v>
      </c>
      <c r="E65" t="str">
        <f>TRIM(RIGHT(Table1[[#This Row],[Location]],LEN(Table1[[#This Row],[Location]])-FIND(",",Table1[[#This Row],[Location]])))</f>
        <v>Illinois</v>
      </c>
      <c r="F65" t="s">
        <v>742</v>
      </c>
      <c r="G65" t="s">
        <v>45</v>
      </c>
      <c r="H65" t="s">
        <v>19</v>
      </c>
      <c r="I65">
        <v>10815</v>
      </c>
      <c r="J65">
        <v>25</v>
      </c>
      <c r="K65">
        <v>4321</v>
      </c>
      <c r="L65">
        <v>9646</v>
      </c>
      <c r="M65">
        <v>2</v>
      </c>
      <c r="N65">
        <v>4921.5948429999999</v>
      </c>
      <c r="O65" s="7">
        <f>IFERROR(Table1[[#This Row],[Clicks]]/Table1[[#This Row],[Impressions]],0)</f>
        <v>2.3116042533518262E-3</v>
      </c>
      <c r="P65" s="5">
        <f>IFERROR(Table1[[#This Row],[Total Conversions]]/Table1[[#This Row],[Clicks]],0)</f>
        <v>0.08</v>
      </c>
      <c r="Q65" s="10">
        <f>IFERROR(Table1[[#This Row],[Gross Cost]]/Table1[[#This Row],[Total Conversions]],0)</f>
        <v>2460.7974214999999</v>
      </c>
      <c r="R65" s="10">
        <f>IFERROR(Table1[[#This Row],[Gross Cost]]/(Table1[[#This Row],[Impressions]]/1000),0)</f>
        <v>455.07118289412853</v>
      </c>
      <c r="S65" s="5">
        <f>IFERROR(Table1[[#This Row],[Viewable Impressions]]/Table1[[#This Row],[Measurable Impressions]],0)</f>
        <v>0.44795770267468382</v>
      </c>
      <c r="T65" s="10">
        <f>IFERROR(1000*Table1[[#This Row],[Gross Cost]]/Table1[[#This Row],[Viewable Impressions]],0)</f>
        <v>1138.994409395973</v>
      </c>
      <c r="U65" s="10"/>
    </row>
    <row r="66" spans="1:21" x14ac:dyDescent="0.2">
      <c r="A66" t="s">
        <v>684</v>
      </c>
      <c r="B66" t="s">
        <v>21</v>
      </c>
      <c r="C66" t="s">
        <v>30</v>
      </c>
      <c r="D66" t="s">
        <v>28</v>
      </c>
      <c r="E66" t="str">
        <f>TRIM(RIGHT(Table1[[#This Row],[Location]],LEN(Table1[[#This Row],[Location]])-FIND(",",Table1[[#This Row],[Location]])))</f>
        <v>California</v>
      </c>
      <c r="F66" t="s">
        <v>685</v>
      </c>
      <c r="G66" t="s">
        <v>18</v>
      </c>
      <c r="H66" t="s">
        <v>26</v>
      </c>
      <c r="I66">
        <v>14038</v>
      </c>
      <c r="J66">
        <v>63</v>
      </c>
      <c r="K66">
        <v>1600</v>
      </c>
      <c r="L66">
        <v>11345</v>
      </c>
      <c r="M66">
        <v>8</v>
      </c>
      <c r="N66">
        <v>6368.8629129999999</v>
      </c>
      <c r="O66" s="7">
        <f>IFERROR(Table1[[#This Row],[Clicks]]/Table1[[#This Row],[Impressions]],0)</f>
        <v>4.4878187776036475E-3</v>
      </c>
      <c r="P66" s="5">
        <f>IFERROR(Table1[[#This Row],[Total Conversions]]/Table1[[#This Row],[Clicks]],0)</f>
        <v>0.12698412698412698</v>
      </c>
      <c r="Q66" s="10">
        <f>IFERROR(Table1[[#This Row],[Gross Cost]]/Table1[[#This Row],[Total Conversions]],0)</f>
        <v>796.10786412499999</v>
      </c>
      <c r="R66" s="10">
        <f>IFERROR(Table1[[#This Row],[Gross Cost]]/(Table1[[#This Row],[Impressions]]/1000),0)</f>
        <v>453.68734242769625</v>
      </c>
      <c r="S66" s="5">
        <f>IFERROR(Table1[[#This Row],[Viewable Impressions]]/Table1[[#This Row],[Measurable Impressions]],0)</f>
        <v>0.14103129131776113</v>
      </c>
      <c r="T66" s="10">
        <f>IFERROR(1000*Table1[[#This Row],[Gross Cost]]/Table1[[#This Row],[Viewable Impressions]],0)</f>
        <v>3980.5393206249996</v>
      </c>
      <c r="U66" s="10"/>
    </row>
    <row r="67" spans="1:21" x14ac:dyDescent="0.2">
      <c r="A67" t="s">
        <v>388</v>
      </c>
      <c r="B67" t="s">
        <v>21</v>
      </c>
      <c r="C67" t="s">
        <v>30</v>
      </c>
      <c r="D67" t="s">
        <v>38</v>
      </c>
      <c r="E67" t="str">
        <f>TRIM(RIGHT(Table1[[#This Row],[Location]],LEN(Table1[[#This Row],[Location]])-FIND(",",Table1[[#This Row],[Location]])))</f>
        <v>Tennessee</v>
      </c>
      <c r="F67" t="s">
        <v>389</v>
      </c>
      <c r="G67" t="s">
        <v>18</v>
      </c>
      <c r="H67" t="s">
        <v>26</v>
      </c>
      <c r="I67">
        <v>15326</v>
      </c>
      <c r="J67">
        <v>68</v>
      </c>
      <c r="K67">
        <v>7941</v>
      </c>
      <c r="L67">
        <v>14331</v>
      </c>
      <c r="M67">
        <v>8</v>
      </c>
      <c r="N67">
        <v>6943.5158240000001</v>
      </c>
      <c r="O67" s="7">
        <f>IFERROR(Table1[[#This Row],[Clicks]]/Table1[[#This Row],[Impressions]],0)</f>
        <v>4.436904606550959E-3</v>
      </c>
      <c r="P67" s="5">
        <f>IFERROR(Table1[[#This Row],[Total Conversions]]/Table1[[#This Row],[Clicks]],0)</f>
        <v>0.11764705882352941</v>
      </c>
      <c r="Q67" s="10">
        <f>IFERROR(Table1[[#This Row],[Gross Cost]]/Table1[[#This Row],[Total Conversions]],0)</f>
        <v>867.93947800000001</v>
      </c>
      <c r="R67" s="10">
        <f>IFERROR(Table1[[#This Row],[Gross Cost]]/(Table1[[#This Row],[Impressions]]/1000),0)</f>
        <v>453.05466684066289</v>
      </c>
      <c r="S67" s="5">
        <f>IFERROR(Table1[[#This Row],[Viewable Impressions]]/Table1[[#This Row],[Measurable Impressions]],0)</f>
        <v>0.55411346033075148</v>
      </c>
      <c r="T67" s="10">
        <f>IFERROR(1000*Table1[[#This Row],[Gross Cost]]/Table1[[#This Row],[Viewable Impressions]],0)</f>
        <v>874.38809016496668</v>
      </c>
      <c r="U67" s="10"/>
    </row>
    <row r="68" spans="1:21" x14ac:dyDescent="0.2">
      <c r="A68" t="s">
        <v>465</v>
      </c>
      <c r="B68" t="s">
        <v>14</v>
      </c>
      <c r="C68" t="s">
        <v>41</v>
      </c>
      <c r="D68" t="s">
        <v>54</v>
      </c>
      <c r="E68" t="str">
        <f>TRIM(RIGHT(Table1[[#This Row],[Location]],LEN(Table1[[#This Row],[Location]])-FIND(",",Table1[[#This Row],[Location]])))</f>
        <v>Florida</v>
      </c>
      <c r="F68" t="s">
        <v>466</v>
      </c>
      <c r="G68" t="s">
        <v>18</v>
      </c>
      <c r="H68" t="s">
        <v>26</v>
      </c>
      <c r="I68">
        <v>11672</v>
      </c>
      <c r="J68">
        <v>84</v>
      </c>
      <c r="K68">
        <v>7619</v>
      </c>
      <c r="L68">
        <v>9999</v>
      </c>
      <c r="M68">
        <v>7</v>
      </c>
      <c r="N68">
        <v>5284.2770399999999</v>
      </c>
      <c r="O68" s="7">
        <f>IFERROR(Table1[[#This Row],[Clicks]]/Table1[[#This Row],[Impressions]],0)</f>
        <v>7.1967100753941053E-3</v>
      </c>
      <c r="P68" s="5">
        <f>IFERROR(Table1[[#This Row],[Total Conversions]]/Table1[[#This Row],[Clicks]],0)</f>
        <v>8.3333333333333329E-2</v>
      </c>
      <c r="Q68" s="10">
        <f>IFERROR(Table1[[#This Row],[Gross Cost]]/Table1[[#This Row],[Total Conversions]],0)</f>
        <v>754.89671999999996</v>
      </c>
      <c r="R68" s="10">
        <f>IFERROR(Table1[[#This Row],[Gross Cost]]/(Table1[[#This Row],[Impressions]]/1000),0)</f>
        <v>452.73106922549687</v>
      </c>
      <c r="S68" s="5">
        <f>IFERROR(Table1[[#This Row],[Viewable Impressions]]/Table1[[#This Row],[Measurable Impressions]],0)</f>
        <v>0.76197619761976199</v>
      </c>
      <c r="T68" s="10">
        <f>IFERROR(1000*Table1[[#This Row],[Gross Cost]]/Table1[[#This Row],[Viewable Impressions]],0)</f>
        <v>693.5656962856018</v>
      </c>
      <c r="U68" s="10"/>
    </row>
    <row r="69" spans="1:21" x14ac:dyDescent="0.2">
      <c r="A69" t="s">
        <v>266</v>
      </c>
      <c r="B69" t="s">
        <v>60</v>
      </c>
      <c r="C69" t="s">
        <v>41</v>
      </c>
      <c r="D69" t="s">
        <v>38</v>
      </c>
      <c r="E69" t="str">
        <f>TRIM(RIGHT(Table1[[#This Row],[Location]],LEN(Table1[[#This Row],[Location]])-FIND(",",Table1[[#This Row],[Location]])))</f>
        <v>Tennessee</v>
      </c>
      <c r="F69" t="s">
        <v>267</v>
      </c>
      <c r="G69" t="s">
        <v>18</v>
      </c>
      <c r="H69" t="s">
        <v>26</v>
      </c>
      <c r="I69">
        <v>14137</v>
      </c>
      <c r="J69">
        <v>44</v>
      </c>
      <c r="K69">
        <v>9300</v>
      </c>
      <c r="L69">
        <v>13110</v>
      </c>
      <c r="M69">
        <v>8</v>
      </c>
      <c r="N69">
        <v>6345.4603379999999</v>
      </c>
      <c r="O69" s="7">
        <f>IFERROR(Table1[[#This Row],[Clicks]]/Table1[[#This Row],[Impressions]],0)</f>
        <v>3.1124000848836387E-3</v>
      </c>
      <c r="P69" s="5">
        <f>IFERROR(Table1[[#This Row],[Total Conversions]]/Table1[[#This Row],[Clicks]],0)</f>
        <v>0.18181818181818182</v>
      </c>
      <c r="Q69" s="10">
        <f>IFERROR(Table1[[#This Row],[Gross Cost]]/Table1[[#This Row],[Total Conversions]],0)</f>
        <v>793.18254224999998</v>
      </c>
      <c r="R69" s="10">
        <f>IFERROR(Table1[[#This Row],[Gross Cost]]/(Table1[[#This Row],[Impressions]]/1000),0)</f>
        <v>448.85480215038547</v>
      </c>
      <c r="S69" s="5">
        <f>IFERROR(Table1[[#This Row],[Viewable Impressions]]/Table1[[#This Row],[Measurable Impressions]],0)</f>
        <v>0.70938215102974833</v>
      </c>
      <c r="T69" s="10">
        <f>IFERROR(1000*Table1[[#This Row],[Gross Cost]]/Table1[[#This Row],[Viewable Impressions]],0)</f>
        <v>682.30756322580635</v>
      </c>
      <c r="U69" s="10"/>
    </row>
    <row r="70" spans="1:21" x14ac:dyDescent="0.2">
      <c r="A70" t="s">
        <v>422</v>
      </c>
      <c r="B70" t="s">
        <v>14</v>
      </c>
      <c r="C70" t="s">
        <v>22</v>
      </c>
      <c r="D70" t="s">
        <v>34</v>
      </c>
      <c r="E70" t="str">
        <f>TRIM(RIGHT(Table1[[#This Row],[Location]],LEN(Table1[[#This Row],[Location]])-FIND(",",Table1[[#This Row],[Location]])))</f>
        <v>Illinois</v>
      </c>
      <c r="F70" t="s">
        <v>423</v>
      </c>
      <c r="G70" t="s">
        <v>45</v>
      </c>
      <c r="H70" t="s">
        <v>26</v>
      </c>
      <c r="I70">
        <v>11681</v>
      </c>
      <c r="J70">
        <v>88</v>
      </c>
      <c r="K70">
        <v>4713</v>
      </c>
      <c r="L70">
        <v>8230</v>
      </c>
      <c r="M70">
        <v>4</v>
      </c>
      <c r="N70">
        <v>5216.6488790000003</v>
      </c>
      <c r="O70" s="7">
        <f>IFERROR(Table1[[#This Row],[Clicks]]/Table1[[#This Row],[Impressions]],0)</f>
        <v>7.533601575207602E-3</v>
      </c>
      <c r="P70" s="5">
        <f>IFERROR(Table1[[#This Row],[Total Conversions]]/Table1[[#This Row],[Clicks]],0)</f>
        <v>4.5454545454545456E-2</v>
      </c>
      <c r="Q70" s="10">
        <f>IFERROR(Table1[[#This Row],[Gross Cost]]/Table1[[#This Row],[Total Conversions]],0)</f>
        <v>1304.1622197500001</v>
      </c>
      <c r="R70" s="10">
        <f>IFERROR(Table1[[#This Row],[Gross Cost]]/(Table1[[#This Row],[Impressions]]/1000),0)</f>
        <v>446.59266150158385</v>
      </c>
      <c r="S70" s="5">
        <f>IFERROR(Table1[[#This Row],[Viewable Impressions]]/Table1[[#This Row],[Measurable Impressions]],0)</f>
        <v>0.5726609963547995</v>
      </c>
      <c r="T70" s="10">
        <f>IFERROR(1000*Table1[[#This Row],[Gross Cost]]/Table1[[#This Row],[Viewable Impressions]],0)</f>
        <v>1106.863755357522</v>
      </c>
      <c r="U70" s="10"/>
    </row>
    <row r="71" spans="1:21" x14ac:dyDescent="0.2">
      <c r="A71" t="s">
        <v>292</v>
      </c>
      <c r="B71" t="s">
        <v>14</v>
      </c>
      <c r="C71" t="s">
        <v>30</v>
      </c>
      <c r="D71" t="s">
        <v>28</v>
      </c>
      <c r="E71" t="str">
        <f>TRIM(RIGHT(Table1[[#This Row],[Location]],LEN(Table1[[#This Row],[Location]])-FIND(",",Table1[[#This Row],[Location]])))</f>
        <v>California</v>
      </c>
      <c r="F71" t="s">
        <v>290</v>
      </c>
      <c r="G71" t="s">
        <v>45</v>
      </c>
      <c r="H71" t="s">
        <v>26</v>
      </c>
      <c r="I71">
        <v>11697</v>
      </c>
      <c r="J71">
        <v>64</v>
      </c>
      <c r="K71">
        <v>6761</v>
      </c>
      <c r="L71">
        <v>10783</v>
      </c>
      <c r="M71">
        <v>3</v>
      </c>
      <c r="N71">
        <v>5218.0702309999997</v>
      </c>
      <c r="O71" s="7">
        <f>IFERROR(Table1[[#This Row],[Clicks]]/Table1[[#This Row],[Impressions]],0)</f>
        <v>5.4714884158331197E-3</v>
      </c>
      <c r="P71" s="5">
        <f>IFERROR(Table1[[#This Row],[Total Conversions]]/Table1[[#This Row],[Clicks]],0)</f>
        <v>4.6875E-2</v>
      </c>
      <c r="Q71" s="10">
        <f>IFERROR(Table1[[#This Row],[Gross Cost]]/Table1[[#This Row],[Total Conversions]],0)</f>
        <v>1739.3567436666665</v>
      </c>
      <c r="R71" s="10">
        <f>IFERROR(Table1[[#This Row],[Gross Cost]]/(Table1[[#This Row],[Impressions]]/1000),0)</f>
        <v>446.10329409250238</v>
      </c>
      <c r="S71" s="5">
        <f>IFERROR(Table1[[#This Row],[Viewable Impressions]]/Table1[[#This Row],[Measurable Impressions]],0)</f>
        <v>0.62700547157562836</v>
      </c>
      <c r="T71" s="10">
        <f>IFERROR(1000*Table1[[#This Row],[Gross Cost]]/Table1[[#This Row],[Viewable Impressions]],0)</f>
        <v>771.78971024996292</v>
      </c>
      <c r="U71" s="10"/>
    </row>
    <row r="72" spans="1:21" x14ac:dyDescent="0.2">
      <c r="A72" t="s">
        <v>962</v>
      </c>
      <c r="B72" t="s">
        <v>14</v>
      </c>
      <c r="C72" t="s">
        <v>41</v>
      </c>
      <c r="D72" t="s">
        <v>34</v>
      </c>
      <c r="E72" t="str">
        <f>TRIM(RIGHT(Table1[[#This Row],[Location]],LEN(Table1[[#This Row],[Location]])-FIND(",",Table1[[#This Row],[Location]])))</f>
        <v>Illinois</v>
      </c>
      <c r="F72" t="s">
        <v>960</v>
      </c>
      <c r="G72" t="s">
        <v>18</v>
      </c>
      <c r="H72" t="s">
        <v>19</v>
      </c>
      <c r="I72">
        <v>7447</v>
      </c>
      <c r="J72">
        <v>10</v>
      </c>
      <c r="K72">
        <v>4163</v>
      </c>
      <c r="L72">
        <v>5586</v>
      </c>
      <c r="M72">
        <v>19</v>
      </c>
      <c r="N72">
        <v>3311.9412459999999</v>
      </c>
      <c r="O72" s="7">
        <f>IFERROR(Table1[[#This Row],[Clicks]]/Table1[[#This Row],[Impressions]],0)</f>
        <v>1.3428226131328052E-3</v>
      </c>
      <c r="P72" s="5">
        <f>IFERROR(Table1[[#This Row],[Total Conversions]]/Table1[[#This Row],[Clicks]],0)</f>
        <v>1.9</v>
      </c>
      <c r="Q72" s="10">
        <f>IFERROR(Table1[[#This Row],[Gross Cost]]/Table1[[#This Row],[Total Conversions]],0)</f>
        <v>174.31269715789472</v>
      </c>
      <c r="R72" s="10">
        <f>IFERROR(Table1[[#This Row],[Gross Cost]]/(Table1[[#This Row],[Impressions]]/1000),0)</f>
        <v>444.73495984960385</v>
      </c>
      <c r="S72" s="5">
        <f>IFERROR(Table1[[#This Row],[Viewable Impressions]]/Table1[[#This Row],[Measurable Impressions]],0)</f>
        <v>0.74525599713569635</v>
      </c>
      <c r="T72" s="10">
        <f>IFERROR(1000*Table1[[#This Row],[Gross Cost]]/Table1[[#This Row],[Viewable Impressions]],0)</f>
        <v>795.56599711746333</v>
      </c>
      <c r="U72" s="10"/>
    </row>
    <row r="73" spans="1:21" x14ac:dyDescent="0.2">
      <c r="A73" t="s">
        <v>74</v>
      </c>
      <c r="B73" t="s">
        <v>14</v>
      </c>
      <c r="C73" t="s">
        <v>22</v>
      </c>
      <c r="D73" t="s">
        <v>34</v>
      </c>
      <c r="E73" t="str">
        <f>TRIM(RIGHT(Table1[[#This Row],[Location]],LEN(Table1[[#This Row],[Location]])-FIND(",",Table1[[#This Row],[Location]])))</f>
        <v>Illinois</v>
      </c>
      <c r="F73" t="s">
        <v>75</v>
      </c>
      <c r="G73" t="s">
        <v>25</v>
      </c>
      <c r="H73" t="s">
        <v>26</v>
      </c>
      <c r="I73">
        <v>14451</v>
      </c>
      <c r="J73">
        <v>50</v>
      </c>
      <c r="K73">
        <v>5606</v>
      </c>
      <c r="L73">
        <v>13461</v>
      </c>
      <c r="M73">
        <v>8</v>
      </c>
      <c r="N73">
        <v>6397.6025179999997</v>
      </c>
      <c r="O73" s="7">
        <f>IFERROR(Table1[[#This Row],[Clicks]]/Table1[[#This Row],[Impressions]],0)</f>
        <v>3.4599681682928518E-3</v>
      </c>
      <c r="P73" s="5">
        <f>IFERROR(Table1[[#This Row],[Total Conversions]]/Table1[[#This Row],[Clicks]],0)</f>
        <v>0.16</v>
      </c>
      <c r="Q73" s="10">
        <f>IFERROR(Table1[[#This Row],[Gross Cost]]/Table1[[#This Row],[Total Conversions]],0)</f>
        <v>799.70031474999996</v>
      </c>
      <c r="R73" s="10">
        <f>IFERROR(Table1[[#This Row],[Gross Cost]]/(Table1[[#This Row],[Impressions]]/1000),0)</f>
        <v>442.7100213134039</v>
      </c>
      <c r="S73" s="5">
        <f>IFERROR(Table1[[#This Row],[Viewable Impressions]]/Table1[[#This Row],[Measurable Impressions]],0)</f>
        <v>0.41646237278062553</v>
      </c>
      <c r="T73" s="10">
        <f>IFERROR(1000*Table1[[#This Row],[Gross Cost]]/Table1[[#This Row],[Viewable Impressions]],0)</f>
        <v>1141.2063000356759</v>
      </c>
      <c r="U73" s="10"/>
    </row>
    <row r="74" spans="1:21" x14ac:dyDescent="0.2">
      <c r="A74" t="s">
        <v>655</v>
      </c>
      <c r="B74" t="s">
        <v>21</v>
      </c>
      <c r="C74" t="s">
        <v>41</v>
      </c>
      <c r="D74" t="s">
        <v>28</v>
      </c>
      <c r="E74" t="str">
        <f>TRIM(RIGHT(Table1[[#This Row],[Location]],LEN(Table1[[#This Row],[Location]])-FIND(",",Table1[[#This Row],[Location]])))</f>
        <v>California</v>
      </c>
      <c r="F74" t="s">
        <v>656</v>
      </c>
      <c r="G74" t="s">
        <v>45</v>
      </c>
      <c r="H74" t="s">
        <v>26</v>
      </c>
      <c r="I74">
        <v>10835</v>
      </c>
      <c r="J74">
        <v>25</v>
      </c>
      <c r="K74">
        <v>2888</v>
      </c>
      <c r="L74">
        <v>10487</v>
      </c>
      <c r="M74">
        <v>3</v>
      </c>
      <c r="N74">
        <v>4704.2499559999997</v>
      </c>
      <c r="O74" s="7">
        <f>IFERROR(Table1[[#This Row],[Clicks]]/Table1[[#This Row],[Impressions]],0)</f>
        <v>2.3073373327180432E-3</v>
      </c>
      <c r="P74" s="5">
        <f>IFERROR(Table1[[#This Row],[Total Conversions]]/Table1[[#This Row],[Clicks]],0)</f>
        <v>0.12</v>
      </c>
      <c r="Q74" s="10">
        <f>IFERROR(Table1[[#This Row],[Gross Cost]]/Table1[[#This Row],[Total Conversions]],0)</f>
        <v>1568.0833186666666</v>
      </c>
      <c r="R74" s="10">
        <f>IFERROR(Table1[[#This Row],[Gross Cost]]/(Table1[[#This Row],[Impressions]]/1000),0)</f>
        <v>434.17166183664045</v>
      </c>
      <c r="S74" s="5">
        <f>IFERROR(Table1[[#This Row],[Viewable Impressions]]/Table1[[#This Row],[Measurable Impressions]],0)</f>
        <v>0.27538857633260228</v>
      </c>
      <c r="T74" s="10">
        <f>IFERROR(1000*Table1[[#This Row],[Gross Cost]]/Table1[[#This Row],[Viewable Impressions]],0)</f>
        <v>1628.8954141274237</v>
      </c>
      <c r="U74" s="10"/>
    </row>
    <row r="75" spans="1:21" x14ac:dyDescent="0.2">
      <c r="A75" t="s">
        <v>387</v>
      </c>
      <c r="B75" t="s">
        <v>14</v>
      </c>
      <c r="C75" t="s">
        <v>15</v>
      </c>
      <c r="D75" t="s">
        <v>34</v>
      </c>
      <c r="E75" t="str">
        <f>TRIM(RIGHT(Table1[[#This Row],[Location]],LEN(Table1[[#This Row],[Location]])-FIND(",",Table1[[#This Row],[Location]])))</f>
        <v>Illinois</v>
      </c>
      <c r="F75" t="s">
        <v>385</v>
      </c>
      <c r="G75" t="s">
        <v>25</v>
      </c>
      <c r="H75" t="s">
        <v>26</v>
      </c>
      <c r="I75">
        <v>12136</v>
      </c>
      <c r="J75">
        <v>97</v>
      </c>
      <c r="K75">
        <v>2089</v>
      </c>
      <c r="L75">
        <v>11500</v>
      </c>
      <c r="M75">
        <v>3</v>
      </c>
      <c r="N75">
        <v>5224.9324630000001</v>
      </c>
      <c r="O75" s="7">
        <f>IFERROR(Table1[[#This Row],[Clicks]]/Table1[[#This Row],[Impressions]],0)</f>
        <v>7.9927488464073826E-3</v>
      </c>
      <c r="P75" s="5">
        <f>IFERROR(Table1[[#This Row],[Total Conversions]]/Table1[[#This Row],[Clicks]],0)</f>
        <v>3.0927835051546393E-2</v>
      </c>
      <c r="Q75" s="10">
        <f>IFERROR(Table1[[#This Row],[Gross Cost]]/Table1[[#This Row],[Total Conversions]],0)</f>
        <v>1741.6441543333333</v>
      </c>
      <c r="R75" s="10">
        <f>IFERROR(Table1[[#This Row],[Gross Cost]]/(Table1[[#This Row],[Impressions]]/1000),0)</f>
        <v>430.53167954845094</v>
      </c>
      <c r="S75" s="5">
        <f>IFERROR(Table1[[#This Row],[Viewable Impressions]]/Table1[[#This Row],[Measurable Impressions]],0)</f>
        <v>0.18165217391304347</v>
      </c>
      <c r="T75" s="10">
        <f>IFERROR(1000*Table1[[#This Row],[Gross Cost]]/Table1[[#This Row],[Viewable Impressions]],0)</f>
        <v>2501.1644150311154</v>
      </c>
      <c r="U75" s="10"/>
    </row>
    <row r="76" spans="1:21" x14ac:dyDescent="0.2">
      <c r="A76" t="s">
        <v>68</v>
      </c>
      <c r="B76" t="s">
        <v>21</v>
      </c>
      <c r="C76" t="s">
        <v>30</v>
      </c>
      <c r="D76" t="s">
        <v>16</v>
      </c>
      <c r="E76" t="str">
        <f>TRIM(RIGHT(Table1[[#This Row],[Location]],LEN(Table1[[#This Row],[Location]])-FIND(",",Table1[[#This Row],[Location]])))</f>
        <v>California</v>
      </c>
      <c r="F76" t="s">
        <v>69</v>
      </c>
      <c r="G76" t="s">
        <v>25</v>
      </c>
      <c r="H76" t="s">
        <v>26</v>
      </c>
      <c r="I76">
        <v>14489</v>
      </c>
      <c r="J76">
        <v>37</v>
      </c>
      <c r="K76">
        <v>12453</v>
      </c>
      <c r="L76">
        <v>13873</v>
      </c>
      <c r="M76">
        <v>10</v>
      </c>
      <c r="N76">
        <v>6195.8407340000003</v>
      </c>
      <c r="O76" s="7">
        <f>IFERROR(Table1[[#This Row],[Clicks]]/Table1[[#This Row],[Impressions]],0)</f>
        <v>2.5536613983021604E-3</v>
      </c>
      <c r="P76" s="5">
        <f>IFERROR(Table1[[#This Row],[Total Conversions]]/Table1[[#This Row],[Clicks]],0)</f>
        <v>0.27027027027027029</v>
      </c>
      <c r="Q76" s="10">
        <f>IFERROR(Table1[[#This Row],[Gross Cost]]/Table1[[#This Row],[Total Conversions]],0)</f>
        <v>619.58407340000008</v>
      </c>
      <c r="R76" s="10">
        <f>IFERROR(Table1[[#This Row],[Gross Cost]]/(Table1[[#This Row],[Impressions]]/1000),0)</f>
        <v>427.6237652011871</v>
      </c>
      <c r="S76" s="5">
        <f>IFERROR(Table1[[#This Row],[Viewable Impressions]]/Table1[[#This Row],[Measurable Impressions]],0)</f>
        <v>0.89764290348158293</v>
      </c>
      <c r="T76" s="10">
        <f>IFERROR(1000*Table1[[#This Row],[Gross Cost]]/Table1[[#This Row],[Viewable Impressions]],0)</f>
        <v>497.53800160603873</v>
      </c>
      <c r="U76" s="10"/>
    </row>
    <row r="77" spans="1:21" x14ac:dyDescent="0.2">
      <c r="A77" t="s">
        <v>894</v>
      </c>
      <c r="B77" t="s">
        <v>21</v>
      </c>
      <c r="C77" t="s">
        <v>41</v>
      </c>
      <c r="D77" t="s">
        <v>38</v>
      </c>
      <c r="E77" t="str">
        <f>TRIM(RIGHT(Table1[[#This Row],[Location]],LEN(Table1[[#This Row],[Location]])-FIND(",",Table1[[#This Row],[Location]])))</f>
        <v>Tennessee</v>
      </c>
      <c r="F77" t="s">
        <v>895</v>
      </c>
      <c r="G77" t="s">
        <v>166</v>
      </c>
      <c r="H77" t="s">
        <v>26</v>
      </c>
      <c r="I77">
        <v>10386</v>
      </c>
      <c r="J77">
        <v>65</v>
      </c>
      <c r="K77">
        <v>5876</v>
      </c>
      <c r="L77">
        <v>10048</v>
      </c>
      <c r="M77">
        <v>15</v>
      </c>
      <c r="N77">
        <v>4439.8380639999996</v>
      </c>
      <c r="O77" s="7">
        <f>IFERROR(Table1[[#This Row],[Clicks]]/Table1[[#This Row],[Impressions]],0)</f>
        <v>6.25842480261891E-3</v>
      </c>
      <c r="P77" s="5">
        <f>IFERROR(Table1[[#This Row],[Total Conversions]]/Table1[[#This Row],[Clicks]],0)</f>
        <v>0.23076923076923078</v>
      </c>
      <c r="Q77" s="10">
        <f>IFERROR(Table1[[#This Row],[Gross Cost]]/Table1[[#This Row],[Total Conversions]],0)</f>
        <v>295.98920426666666</v>
      </c>
      <c r="R77" s="10">
        <f>IFERROR(Table1[[#This Row],[Gross Cost]]/(Table1[[#This Row],[Impressions]]/1000),0)</f>
        <v>427.4829639899865</v>
      </c>
      <c r="S77" s="5">
        <f>IFERROR(Table1[[#This Row],[Viewable Impressions]]/Table1[[#This Row],[Measurable Impressions]],0)</f>
        <v>0.58479299363057324</v>
      </c>
      <c r="T77" s="10">
        <f>IFERROR(1000*Table1[[#This Row],[Gross Cost]]/Table1[[#This Row],[Viewable Impressions]],0)</f>
        <v>755.5885064669842</v>
      </c>
      <c r="U77" s="10"/>
    </row>
    <row r="78" spans="1:21" x14ac:dyDescent="0.2">
      <c r="A78" t="s">
        <v>812</v>
      </c>
      <c r="B78" t="s">
        <v>14</v>
      </c>
      <c r="C78" t="s">
        <v>15</v>
      </c>
      <c r="D78" t="s">
        <v>83</v>
      </c>
      <c r="E78" t="str">
        <f>TRIM(RIGHT(Table1[[#This Row],[Location]],LEN(Table1[[#This Row],[Location]])-FIND(",",Table1[[#This Row],[Location]])))</f>
        <v>Florida</v>
      </c>
      <c r="F78" t="s">
        <v>811</v>
      </c>
      <c r="G78" t="s">
        <v>45</v>
      </c>
      <c r="H78" t="s">
        <v>26</v>
      </c>
      <c r="I78">
        <v>14350</v>
      </c>
      <c r="J78">
        <v>60</v>
      </c>
      <c r="K78">
        <v>8228</v>
      </c>
      <c r="L78">
        <v>13396</v>
      </c>
      <c r="M78">
        <v>6</v>
      </c>
      <c r="N78">
        <v>6114.034936</v>
      </c>
      <c r="O78" s="7">
        <f>IFERROR(Table1[[#This Row],[Clicks]]/Table1[[#This Row],[Impressions]],0)</f>
        <v>4.181184668989547E-3</v>
      </c>
      <c r="P78" s="5">
        <f>IFERROR(Table1[[#This Row],[Total Conversions]]/Table1[[#This Row],[Clicks]],0)</f>
        <v>0.1</v>
      </c>
      <c r="Q78" s="10">
        <f>IFERROR(Table1[[#This Row],[Gross Cost]]/Table1[[#This Row],[Total Conversions]],0)</f>
        <v>1019.0058226666666</v>
      </c>
      <c r="R78" s="10">
        <f>IFERROR(Table1[[#This Row],[Gross Cost]]/(Table1[[#This Row],[Impressions]]/1000),0)</f>
        <v>426.06515233449477</v>
      </c>
      <c r="S78" s="5">
        <f>IFERROR(Table1[[#This Row],[Viewable Impressions]]/Table1[[#This Row],[Measurable Impressions]],0)</f>
        <v>0.6142131979695431</v>
      </c>
      <c r="T78" s="10">
        <f>IFERROR(1000*Table1[[#This Row],[Gross Cost]]/Table1[[#This Row],[Viewable Impressions]],0)</f>
        <v>743.07668157510932</v>
      </c>
      <c r="U78" s="10"/>
    </row>
    <row r="79" spans="1:21" x14ac:dyDescent="0.2">
      <c r="A79" t="s">
        <v>520</v>
      </c>
      <c r="B79" t="s">
        <v>14</v>
      </c>
      <c r="C79" t="s">
        <v>30</v>
      </c>
      <c r="D79" t="s">
        <v>34</v>
      </c>
      <c r="E79" t="str">
        <f>TRIM(RIGHT(Table1[[#This Row],[Location]],LEN(Table1[[#This Row],[Location]])-FIND(",",Table1[[#This Row],[Location]])))</f>
        <v>Illinois</v>
      </c>
      <c r="F79" t="s">
        <v>517</v>
      </c>
      <c r="G79" t="s">
        <v>45</v>
      </c>
      <c r="H79" t="s">
        <v>26</v>
      </c>
      <c r="I79">
        <v>14083</v>
      </c>
      <c r="J79">
        <v>97</v>
      </c>
      <c r="K79">
        <v>9945</v>
      </c>
      <c r="L79">
        <v>12878</v>
      </c>
      <c r="M79">
        <v>11</v>
      </c>
      <c r="N79">
        <v>5979.67</v>
      </c>
      <c r="O79" s="7">
        <f>IFERROR(Table1[[#This Row],[Clicks]]/Table1[[#This Row],[Impressions]],0)</f>
        <v>6.8877369878577004E-3</v>
      </c>
      <c r="P79" s="5">
        <f>IFERROR(Table1[[#This Row],[Total Conversions]]/Table1[[#This Row],[Clicks]],0)</f>
        <v>0.1134020618556701</v>
      </c>
      <c r="Q79" s="10">
        <f>IFERROR(Table1[[#This Row],[Gross Cost]]/Table1[[#This Row],[Total Conversions]],0)</f>
        <v>543.60636363636365</v>
      </c>
      <c r="R79" s="10">
        <f>IFERROR(Table1[[#This Row],[Gross Cost]]/(Table1[[#This Row],[Impressions]]/1000),0)</f>
        <v>424.60200241425832</v>
      </c>
      <c r="S79" s="5">
        <f>IFERROR(Table1[[#This Row],[Viewable Impressions]]/Table1[[#This Row],[Measurable Impressions]],0)</f>
        <v>0.77224724336077033</v>
      </c>
      <c r="T79" s="10">
        <f>IFERROR(1000*Table1[[#This Row],[Gross Cost]]/Table1[[#This Row],[Viewable Impressions]],0)</f>
        <v>601.27400703871297</v>
      </c>
      <c r="U79" s="10"/>
    </row>
    <row r="80" spans="1:21" x14ac:dyDescent="0.2">
      <c r="A80" t="s">
        <v>145</v>
      </c>
      <c r="B80" t="s">
        <v>21</v>
      </c>
      <c r="C80" t="s">
        <v>22</v>
      </c>
      <c r="D80" t="s">
        <v>146</v>
      </c>
      <c r="E80" t="str">
        <f>TRIM(RIGHT(Table1[[#This Row],[Location]],LEN(Table1[[#This Row],[Location]])-FIND(",",Table1[[#This Row],[Location]])))</f>
        <v>Tennessee-Virginia</v>
      </c>
      <c r="F80" t="s">
        <v>144</v>
      </c>
      <c r="G80" t="s">
        <v>45</v>
      </c>
      <c r="H80" t="s">
        <v>26</v>
      </c>
      <c r="I80">
        <v>14047</v>
      </c>
      <c r="J80">
        <v>44</v>
      </c>
      <c r="K80">
        <v>9934</v>
      </c>
      <c r="L80">
        <v>13377</v>
      </c>
      <c r="M80">
        <v>7</v>
      </c>
      <c r="N80">
        <v>5729.6507549999997</v>
      </c>
      <c r="O80" s="7">
        <f>IFERROR(Table1[[#This Row],[Clicks]]/Table1[[#This Row],[Impressions]],0)</f>
        <v>3.1323414252153485E-3</v>
      </c>
      <c r="P80" s="5">
        <f>IFERROR(Table1[[#This Row],[Total Conversions]]/Table1[[#This Row],[Clicks]],0)</f>
        <v>0.15909090909090909</v>
      </c>
      <c r="Q80" s="10">
        <f>IFERROR(Table1[[#This Row],[Gross Cost]]/Table1[[#This Row],[Total Conversions]],0)</f>
        <v>818.52153642857138</v>
      </c>
      <c r="R80" s="10">
        <f>IFERROR(Table1[[#This Row],[Gross Cost]]/(Table1[[#This Row],[Impressions]]/1000),0)</f>
        <v>407.89141845233854</v>
      </c>
      <c r="S80" s="5">
        <f>IFERROR(Table1[[#This Row],[Viewable Impressions]]/Table1[[#This Row],[Measurable Impressions]],0)</f>
        <v>0.74261792629139567</v>
      </c>
      <c r="T80" s="10">
        <f>IFERROR(1000*Table1[[#This Row],[Gross Cost]]/Table1[[#This Row],[Viewable Impressions]],0)</f>
        <v>576.77176917656527</v>
      </c>
      <c r="U80" s="10"/>
    </row>
    <row r="81" spans="1:21" x14ac:dyDescent="0.2">
      <c r="A81" t="s">
        <v>350</v>
      </c>
      <c r="B81" t="s">
        <v>21</v>
      </c>
      <c r="C81" t="s">
        <v>41</v>
      </c>
      <c r="D81" t="s">
        <v>16</v>
      </c>
      <c r="E81" t="str">
        <f>TRIM(RIGHT(Table1[[#This Row],[Location]],LEN(Table1[[#This Row],[Location]])-FIND(",",Table1[[#This Row],[Location]])))</f>
        <v>California</v>
      </c>
      <c r="F81" t="s">
        <v>351</v>
      </c>
      <c r="G81" t="s">
        <v>32</v>
      </c>
      <c r="H81" t="s">
        <v>26</v>
      </c>
      <c r="I81">
        <v>15252</v>
      </c>
      <c r="J81">
        <v>55</v>
      </c>
      <c r="K81">
        <v>2152</v>
      </c>
      <c r="L81">
        <v>3482</v>
      </c>
      <c r="M81">
        <v>7</v>
      </c>
      <c r="N81">
        <v>6211.2001469999996</v>
      </c>
      <c r="O81" s="7">
        <f>IFERROR(Table1[[#This Row],[Clicks]]/Table1[[#This Row],[Impressions]],0)</f>
        <v>3.6060844479412538E-3</v>
      </c>
      <c r="P81" s="5">
        <f>IFERROR(Table1[[#This Row],[Total Conversions]]/Table1[[#This Row],[Clicks]],0)</f>
        <v>0.12727272727272726</v>
      </c>
      <c r="Q81" s="10">
        <f>IFERROR(Table1[[#This Row],[Gross Cost]]/Table1[[#This Row],[Total Conversions]],0)</f>
        <v>887.31430671428564</v>
      </c>
      <c r="R81" s="10">
        <f>IFERROR(Table1[[#This Row],[Gross Cost]]/(Table1[[#This Row],[Impressions]]/1000),0)</f>
        <v>407.23840460267502</v>
      </c>
      <c r="S81" s="5">
        <f>IFERROR(Table1[[#This Row],[Viewable Impressions]]/Table1[[#This Row],[Measurable Impressions]],0)</f>
        <v>0.61803561171740384</v>
      </c>
      <c r="T81" s="10">
        <f>IFERROR(1000*Table1[[#This Row],[Gross Cost]]/Table1[[#This Row],[Viewable Impressions]],0)</f>
        <v>2886.2454214684012</v>
      </c>
      <c r="U81" s="10"/>
    </row>
    <row r="82" spans="1:21" x14ac:dyDescent="0.2">
      <c r="A82" t="s">
        <v>332</v>
      </c>
      <c r="B82" t="s">
        <v>21</v>
      </c>
      <c r="C82" t="s">
        <v>15</v>
      </c>
      <c r="D82" t="s">
        <v>149</v>
      </c>
      <c r="E82" t="str">
        <f>TRIM(RIGHT(Table1[[#This Row],[Location]],LEN(Table1[[#This Row],[Location]])-FIND(",",Table1[[#This Row],[Location]])))</f>
        <v>Indiana</v>
      </c>
      <c r="F82" t="s">
        <v>333</v>
      </c>
      <c r="G82" t="s">
        <v>18</v>
      </c>
      <c r="H82" t="s">
        <v>26</v>
      </c>
      <c r="I82">
        <v>14011</v>
      </c>
      <c r="J82">
        <v>40</v>
      </c>
      <c r="K82">
        <v>5060</v>
      </c>
      <c r="L82">
        <v>12459</v>
      </c>
      <c r="M82">
        <v>5</v>
      </c>
      <c r="N82">
        <v>5632.0879729999997</v>
      </c>
      <c r="O82" s="7">
        <f>IFERROR(Table1[[#This Row],[Clicks]]/Table1[[#This Row],[Impressions]],0)</f>
        <v>2.8548997216472772E-3</v>
      </c>
      <c r="P82" s="5">
        <f>IFERROR(Table1[[#This Row],[Total Conversions]]/Table1[[#This Row],[Clicks]],0)</f>
        <v>0.125</v>
      </c>
      <c r="Q82" s="10">
        <f>IFERROR(Table1[[#This Row],[Gross Cost]]/Table1[[#This Row],[Total Conversions]],0)</f>
        <v>1126.4175946</v>
      </c>
      <c r="R82" s="10">
        <f>IFERROR(Table1[[#This Row],[Gross Cost]]/(Table1[[#This Row],[Impressions]]/1000),0)</f>
        <v>401.97615966026694</v>
      </c>
      <c r="S82" s="5">
        <f>IFERROR(Table1[[#This Row],[Viewable Impressions]]/Table1[[#This Row],[Measurable Impressions]],0)</f>
        <v>0.40613211333172805</v>
      </c>
      <c r="T82" s="10">
        <f>IFERROR(1000*Table1[[#This Row],[Gross Cost]]/Table1[[#This Row],[Viewable Impressions]],0)</f>
        <v>1113.0608642292489</v>
      </c>
      <c r="U82" s="10"/>
    </row>
    <row r="83" spans="1:21" x14ac:dyDescent="0.2">
      <c r="A83" t="s">
        <v>662</v>
      </c>
      <c r="B83" t="s">
        <v>14</v>
      </c>
      <c r="C83" t="s">
        <v>41</v>
      </c>
      <c r="D83" t="s">
        <v>23</v>
      </c>
      <c r="E83" t="str">
        <f>TRIM(RIGHT(Table1[[#This Row],[Location]],LEN(Table1[[#This Row],[Location]])-FIND(",",Table1[[#This Row],[Location]])))</f>
        <v>Florida</v>
      </c>
      <c r="F83" t="s">
        <v>660</v>
      </c>
      <c r="G83" t="s">
        <v>49</v>
      </c>
      <c r="H83" t="s">
        <v>26</v>
      </c>
      <c r="I83">
        <v>14224</v>
      </c>
      <c r="J83">
        <v>30</v>
      </c>
      <c r="K83">
        <v>2549</v>
      </c>
      <c r="L83">
        <v>11974</v>
      </c>
      <c r="M83">
        <v>7</v>
      </c>
      <c r="N83">
        <v>5637.3034969999999</v>
      </c>
      <c r="O83" s="7">
        <f>IFERROR(Table1[[#This Row],[Clicks]]/Table1[[#This Row],[Impressions]],0)</f>
        <v>2.1091113610798651E-3</v>
      </c>
      <c r="P83" s="5">
        <f>IFERROR(Table1[[#This Row],[Total Conversions]]/Table1[[#This Row],[Clicks]],0)</f>
        <v>0.23333333333333334</v>
      </c>
      <c r="Q83" s="10">
        <f>IFERROR(Table1[[#This Row],[Gross Cost]]/Table1[[#This Row],[Total Conversions]],0)</f>
        <v>805.329071</v>
      </c>
      <c r="R83" s="10">
        <f>IFERROR(Table1[[#This Row],[Gross Cost]]/(Table1[[#This Row],[Impressions]]/1000),0)</f>
        <v>396.3233617125984</v>
      </c>
      <c r="S83" s="5">
        <f>IFERROR(Table1[[#This Row],[Viewable Impressions]]/Table1[[#This Row],[Measurable Impressions]],0)</f>
        <v>0.21287790212126273</v>
      </c>
      <c r="T83" s="10">
        <f>IFERROR(1000*Table1[[#This Row],[Gross Cost]]/Table1[[#This Row],[Viewable Impressions]],0)</f>
        <v>2211.5745378579832</v>
      </c>
      <c r="U83" s="10"/>
    </row>
    <row r="84" spans="1:21" x14ac:dyDescent="0.2">
      <c r="A84" t="s">
        <v>394</v>
      </c>
      <c r="B84" t="s">
        <v>21</v>
      </c>
      <c r="C84" t="s">
        <v>30</v>
      </c>
      <c r="D84" t="s">
        <v>77</v>
      </c>
      <c r="E84" t="str">
        <f>TRIM(RIGHT(Table1[[#This Row],[Location]],LEN(Table1[[#This Row],[Location]])-FIND(",",Table1[[#This Row],[Location]])))</f>
        <v>New York</v>
      </c>
      <c r="F84" t="s">
        <v>389</v>
      </c>
      <c r="G84" t="s">
        <v>18</v>
      </c>
      <c r="H84" t="s">
        <v>26</v>
      </c>
      <c r="I84">
        <v>12879</v>
      </c>
      <c r="J84">
        <v>71</v>
      </c>
      <c r="K84">
        <v>7225</v>
      </c>
      <c r="L84">
        <v>12173</v>
      </c>
      <c r="M84">
        <v>9</v>
      </c>
      <c r="N84">
        <v>5099.2824899999996</v>
      </c>
      <c r="O84" s="7">
        <f>IFERROR(Table1[[#This Row],[Clicks]]/Table1[[#This Row],[Impressions]],0)</f>
        <v>5.5128503765820326E-3</v>
      </c>
      <c r="P84" s="5">
        <f>IFERROR(Table1[[#This Row],[Total Conversions]]/Table1[[#This Row],[Clicks]],0)</f>
        <v>0.12676056338028169</v>
      </c>
      <c r="Q84" s="10">
        <f>IFERROR(Table1[[#This Row],[Gross Cost]]/Table1[[#This Row],[Total Conversions]],0)</f>
        <v>566.58694333333324</v>
      </c>
      <c r="R84" s="10">
        <f>IFERROR(Table1[[#This Row],[Gross Cost]]/(Table1[[#This Row],[Impressions]]/1000),0)</f>
        <v>395.93776613091075</v>
      </c>
      <c r="S84" s="5">
        <f>IFERROR(Table1[[#This Row],[Viewable Impressions]]/Table1[[#This Row],[Measurable Impressions]],0)</f>
        <v>0.59352665735644461</v>
      </c>
      <c r="T84" s="10">
        <f>IFERROR(1000*Table1[[#This Row],[Gross Cost]]/Table1[[#This Row],[Viewable Impressions]],0)</f>
        <v>705.78304359861579</v>
      </c>
      <c r="U84" s="10"/>
    </row>
    <row r="85" spans="1:21" x14ac:dyDescent="0.2">
      <c r="A85" t="s">
        <v>184</v>
      </c>
      <c r="B85" t="s">
        <v>21</v>
      </c>
      <c r="C85" t="s">
        <v>22</v>
      </c>
      <c r="D85" t="s">
        <v>31</v>
      </c>
      <c r="E85" t="str">
        <f>TRIM(RIGHT(Table1[[#This Row],[Location]],LEN(Table1[[#This Row],[Location]])-FIND(",",Table1[[#This Row],[Location]])))</f>
        <v>Michigan</v>
      </c>
      <c r="F85" t="s">
        <v>185</v>
      </c>
      <c r="G85" t="s">
        <v>18</v>
      </c>
      <c r="H85" t="s">
        <v>26</v>
      </c>
      <c r="I85">
        <v>17582</v>
      </c>
      <c r="J85">
        <v>56</v>
      </c>
      <c r="K85">
        <v>9848</v>
      </c>
      <c r="L85">
        <v>16558</v>
      </c>
      <c r="M85">
        <v>12</v>
      </c>
      <c r="N85">
        <v>6846.4479149999997</v>
      </c>
      <c r="O85" s="7">
        <f>IFERROR(Table1[[#This Row],[Clicks]]/Table1[[#This Row],[Impressions]],0)</f>
        <v>3.1850756455465818E-3</v>
      </c>
      <c r="P85" s="5">
        <f>IFERROR(Table1[[#This Row],[Total Conversions]]/Table1[[#This Row],[Clicks]],0)</f>
        <v>0.21428571428571427</v>
      </c>
      <c r="Q85" s="10">
        <f>IFERROR(Table1[[#This Row],[Gross Cost]]/Table1[[#This Row],[Total Conversions]],0)</f>
        <v>570.53732624999998</v>
      </c>
      <c r="R85" s="10">
        <f>IFERROR(Table1[[#This Row],[Gross Cost]]/(Table1[[#This Row],[Impressions]]/1000),0)</f>
        <v>389.40097343874413</v>
      </c>
      <c r="S85" s="5">
        <f>IFERROR(Table1[[#This Row],[Viewable Impressions]]/Table1[[#This Row],[Measurable Impressions]],0)</f>
        <v>0.59475782099287355</v>
      </c>
      <c r="T85" s="10">
        <f>IFERROR(1000*Table1[[#This Row],[Gross Cost]]/Table1[[#This Row],[Viewable Impressions]],0)</f>
        <v>695.21201411454103</v>
      </c>
      <c r="U85" s="10"/>
    </row>
    <row r="86" spans="1:21" x14ac:dyDescent="0.2">
      <c r="A86" t="s">
        <v>449</v>
      </c>
      <c r="B86" t="s">
        <v>60</v>
      </c>
      <c r="C86" t="s">
        <v>30</v>
      </c>
      <c r="D86" t="s">
        <v>77</v>
      </c>
      <c r="E86" t="str">
        <f>TRIM(RIGHT(Table1[[#This Row],[Location]],LEN(Table1[[#This Row],[Location]])-FIND(",",Table1[[#This Row],[Location]])))</f>
        <v>New York</v>
      </c>
      <c r="F86" t="s">
        <v>450</v>
      </c>
      <c r="G86" t="s">
        <v>18</v>
      </c>
      <c r="H86" t="s">
        <v>26</v>
      </c>
      <c r="I86">
        <v>17518</v>
      </c>
      <c r="J86">
        <v>60</v>
      </c>
      <c r="K86">
        <v>11513</v>
      </c>
      <c r="L86">
        <v>16192</v>
      </c>
      <c r="M86">
        <v>12</v>
      </c>
      <c r="N86">
        <v>6765.0003999999999</v>
      </c>
      <c r="O86" s="7">
        <f>IFERROR(Table1[[#This Row],[Clicks]]/Table1[[#This Row],[Impressions]],0)</f>
        <v>3.4250485215207216E-3</v>
      </c>
      <c r="P86" s="5">
        <f>IFERROR(Table1[[#This Row],[Total Conversions]]/Table1[[#This Row],[Clicks]],0)</f>
        <v>0.2</v>
      </c>
      <c r="Q86" s="10">
        <f>IFERROR(Table1[[#This Row],[Gross Cost]]/Table1[[#This Row],[Total Conversions]],0)</f>
        <v>563.75003333333336</v>
      </c>
      <c r="R86" s="10">
        <f>IFERROR(Table1[[#This Row],[Gross Cost]]/(Table1[[#This Row],[Impressions]]/1000),0)</f>
        <v>386.17424363511816</v>
      </c>
      <c r="S86" s="5">
        <f>IFERROR(Table1[[#This Row],[Viewable Impressions]]/Table1[[#This Row],[Measurable Impressions]],0)</f>
        <v>0.7110301383399209</v>
      </c>
      <c r="T86" s="10">
        <f>IFERROR(1000*Table1[[#This Row],[Gross Cost]]/Table1[[#This Row],[Viewable Impressions]],0)</f>
        <v>587.59666463997212</v>
      </c>
      <c r="U86" s="10"/>
    </row>
    <row r="87" spans="1:21" x14ac:dyDescent="0.2">
      <c r="A87" t="s">
        <v>176</v>
      </c>
      <c r="B87" t="s">
        <v>21</v>
      </c>
      <c r="C87" t="s">
        <v>22</v>
      </c>
      <c r="D87" t="s">
        <v>172</v>
      </c>
      <c r="E87" t="str">
        <f>TRIM(RIGHT(Table1[[#This Row],[Location]],LEN(Table1[[#This Row],[Location]])-FIND(",",Table1[[#This Row],[Location]])))</f>
        <v>Tennessee</v>
      </c>
      <c r="F87" t="s">
        <v>177</v>
      </c>
      <c r="G87" t="s">
        <v>49</v>
      </c>
      <c r="H87" t="s">
        <v>26</v>
      </c>
      <c r="I87">
        <v>16644</v>
      </c>
      <c r="J87">
        <v>10</v>
      </c>
      <c r="K87">
        <v>5055</v>
      </c>
      <c r="L87">
        <v>15831</v>
      </c>
      <c r="M87">
        <v>5</v>
      </c>
      <c r="N87">
        <v>6386.4642320000003</v>
      </c>
      <c r="O87" s="7">
        <f>IFERROR(Table1[[#This Row],[Clicks]]/Table1[[#This Row],[Impressions]],0)</f>
        <v>6.0081711127132897E-4</v>
      </c>
      <c r="P87" s="5">
        <f>IFERROR(Table1[[#This Row],[Total Conversions]]/Table1[[#This Row],[Clicks]],0)</f>
        <v>0.5</v>
      </c>
      <c r="Q87" s="10">
        <f>IFERROR(Table1[[#This Row],[Gross Cost]]/Table1[[#This Row],[Total Conversions]],0)</f>
        <v>1277.2928464000001</v>
      </c>
      <c r="R87" s="10">
        <f>IFERROR(Table1[[#This Row],[Gross Cost]]/(Table1[[#This Row],[Impressions]]/1000),0)</f>
        <v>383.70969911079072</v>
      </c>
      <c r="S87" s="5">
        <f>IFERROR(Table1[[#This Row],[Viewable Impressions]]/Table1[[#This Row],[Measurable Impressions]],0)</f>
        <v>0.31931021413682015</v>
      </c>
      <c r="T87" s="10">
        <f>IFERROR(1000*Table1[[#This Row],[Gross Cost]]/Table1[[#This Row],[Viewable Impressions]],0)</f>
        <v>1263.3954959446094</v>
      </c>
      <c r="U87" s="10"/>
    </row>
    <row r="88" spans="1:21" x14ac:dyDescent="0.2">
      <c r="A88" t="s">
        <v>20</v>
      </c>
      <c r="B88" t="s">
        <v>21</v>
      </c>
      <c r="C88" t="s">
        <v>22</v>
      </c>
      <c r="D88" t="s">
        <v>23</v>
      </c>
      <c r="E88" t="str">
        <f>TRIM(RIGHT(Table1[[#This Row],[Location]],LEN(Table1[[#This Row],[Location]])-FIND(",",Table1[[#This Row],[Location]])))</f>
        <v>Florida</v>
      </c>
      <c r="F88" t="s">
        <v>24</v>
      </c>
      <c r="G88" t="s">
        <v>25</v>
      </c>
      <c r="H88" t="s">
        <v>26</v>
      </c>
      <c r="I88">
        <v>18324</v>
      </c>
      <c r="J88">
        <v>60</v>
      </c>
      <c r="K88">
        <v>3145</v>
      </c>
      <c r="L88">
        <v>13703</v>
      </c>
      <c r="M88">
        <v>8</v>
      </c>
      <c r="N88">
        <v>6996.2318379999997</v>
      </c>
      <c r="O88" s="7">
        <f>IFERROR(Table1[[#This Row],[Clicks]]/Table1[[#This Row],[Impressions]],0)</f>
        <v>3.2743942370661427E-3</v>
      </c>
      <c r="P88" s="5">
        <f>IFERROR(Table1[[#This Row],[Total Conversions]]/Table1[[#This Row],[Clicks]],0)</f>
        <v>0.13333333333333333</v>
      </c>
      <c r="Q88" s="10">
        <f>IFERROR(Table1[[#This Row],[Gross Cost]]/Table1[[#This Row],[Total Conversions]],0)</f>
        <v>874.52897974999996</v>
      </c>
      <c r="R88" s="10">
        <f>IFERROR(Table1[[#This Row],[Gross Cost]]/(Table1[[#This Row],[Impressions]]/1000),0)</f>
        <v>381.80702019209775</v>
      </c>
      <c r="S88" s="5">
        <f>IFERROR(Table1[[#This Row],[Viewable Impressions]]/Table1[[#This Row],[Measurable Impressions]],0)</f>
        <v>0.22951178574034883</v>
      </c>
      <c r="T88" s="10">
        <f>IFERROR(1000*Table1[[#This Row],[Gross Cost]]/Table1[[#This Row],[Viewable Impressions]],0)</f>
        <v>2224.5570232114464</v>
      </c>
      <c r="U88" s="10"/>
    </row>
    <row r="89" spans="1:21" x14ac:dyDescent="0.2">
      <c r="A89" t="s">
        <v>799</v>
      </c>
      <c r="B89" t="s">
        <v>21</v>
      </c>
      <c r="C89" t="s">
        <v>22</v>
      </c>
      <c r="D89" t="s">
        <v>180</v>
      </c>
      <c r="E89" t="str">
        <f>TRIM(RIGHT(Table1[[#This Row],[Location]],LEN(Table1[[#This Row],[Location]])-FIND(",",Table1[[#This Row],[Location]])))</f>
        <v>Alabama</v>
      </c>
      <c r="F89" t="s">
        <v>800</v>
      </c>
      <c r="G89" t="s">
        <v>18</v>
      </c>
      <c r="H89" t="s">
        <v>26</v>
      </c>
      <c r="I89">
        <v>14509</v>
      </c>
      <c r="J89">
        <v>90</v>
      </c>
      <c r="K89">
        <v>866</v>
      </c>
      <c r="L89">
        <v>13268</v>
      </c>
      <c r="M89">
        <v>8</v>
      </c>
      <c r="N89">
        <v>5521.1891299999997</v>
      </c>
      <c r="O89" s="7">
        <f>IFERROR(Table1[[#This Row],[Clicks]]/Table1[[#This Row],[Impressions]],0)</f>
        <v>6.2030463850024121E-3</v>
      </c>
      <c r="P89" s="5">
        <f>IFERROR(Table1[[#This Row],[Total Conversions]]/Table1[[#This Row],[Clicks]],0)</f>
        <v>8.8888888888888892E-2</v>
      </c>
      <c r="Q89" s="10">
        <f>IFERROR(Table1[[#This Row],[Gross Cost]]/Table1[[#This Row],[Total Conversions]],0)</f>
        <v>690.14864124999997</v>
      </c>
      <c r="R89" s="10">
        <f>IFERROR(Table1[[#This Row],[Gross Cost]]/(Table1[[#This Row],[Impressions]]/1000),0)</f>
        <v>380.53546970845679</v>
      </c>
      <c r="S89" s="5">
        <f>IFERROR(Table1[[#This Row],[Viewable Impressions]]/Table1[[#This Row],[Measurable Impressions]],0)</f>
        <v>6.52698221284293E-2</v>
      </c>
      <c r="T89" s="10">
        <f>IFERROR(1000*Table1[[#This Row],[Gross Cost]]/Table1[[#This Row],[Viewable Impressions]],0)</f>
        <v>6375.5070785219395</v>
      </c>
      <c r="U89" s="10"/>
    </row>
    <row r="90" spans="1:21" x14ac:dyDescent="0.2">
      <c r="A90" t="s">
        <v>807</v>
      </c>
      <c r="B90" t="s">
        <v>21</v>
      </c>
      <c r="C90" t="s">
        <v>30</v>
      </c>
      <c r="D90" t="s">
        <v>83</v>
      </c>
      <c r="E90" t="str">
        <f>TRIM(RIGHT(Table1[[#This Row],[Location]],LEN(Table1[[#This Row],[Location]])-FIND(",",Table1[[#This Row],[Location]])))</f>
        <v>Florida</v>
      </c>
      <c r="F90" t="s">
        <v>808</v>
      </c>
      <c r="G90" t="s">
        <v>49</v>
      </c>
      <c r="H90" t="s">
        <v>26</v>
      </c>
      <c r="I90">
        <v>18136</v>
      </c>
      <c r="J90">
        <v>69</v>
      </c>
      <c r="K90">
        <v>10842</v>
      </c>
      <c r="L90">
        <v>14953</v>
      </c>
      <c r="M90">
        <v>9</v>
      </c>
      <c r="N90">
        <v>6860.3595969999997</v>
      </c>
      <c r="O90" s="7">
        <f>IFERROR(Table1[[#This Row],[Clicks]]/Table1[[#This Row],[Impressions]],0)</f>
        <v>3.8045875606528452E-3</v>
      </c>
      <c r="P90" s="5">
        <f>IFERROR(Table1[[#This Row],[Total Conversions]]/Table1[[#This Row],[Clicks]],0)</f>
        <v>0.13043478260869565</v>
      </c>
      <c r="Q90" s="10">
        <f>IFERROR(Table1[[#This Row],[Gross Cost]]/Table1[[#This Row],[Total Conversions]],0)</f>
        <v>762.26217744444443</v>
      </c>
      <c r="R90" s="10">
        <f>IFERROR(Table1[[#This Row],[Gross Cost]]/(Table1[[#This Row],[Impressions]]/1000),0)</f>
        <v>378.27302586016759</v>
      </c>
      <c r="S90" s="5">
        <f>IFERROR(Table1[[#This Row],[Viewable Impressions]]/Table1[[#This Row],[Measurable Impressions]],0)</f>
        <v>0.72507189192804122</v>
      </c>
      <c r="T90" s="10">
        <f>IFERROR(1000*Table1[[#This Row],[Gross Cost]]/Table1[[#This Row],[Viewable Impressions]],0)</f>
        <v>632.75775659472424</v>
      </c>
      <c r="U90" s="10"/>
    </row>
    <row r="91" spans="1:21" x14ac:dyDescent="0.2">
      <c r="A91" t="s">
        <v>779</v>
      </c>
      <c r="B91" t="s">
        <v>21</v>
      </c>
      <c r="C91" t="s">
        <v>30</v>
      </c>
      <c r="D91" t="s">
        <v>77</v>
      </c>
      <c r="E91" t="str">
        <f>TRIM(RIGHT(Table1[[#This Row],[Location]],LEN(Table1[[#This Row],[Location]])-FIND(",",Table1[[#This Row],[Location]])))</f>
        <v>New York</v>
      </c>
      <c r="F91" t="s">
        <v>780</v>
      </c>
      <c r="G91" t="s">
        <v>135</v>
      </c>
      <c r="H91" t="s">
        <v>26</v>
      </c>
      <c r="I91">
        <v>19334</v>
      </c>
      <c r="J91">
        <v>40</v>
      </c>
      <c r="K91">
        <v>8673</v>
      </c>
      <c r="L91">
        <v>18578</v>
      </c>
      <c r="M91">
        <v>11</v>
      </c>
      <c r="N91">
        <v>7292.1350590000002</v>
      </c>
      <c r="O91" s="7">
        <f>IFERROR(Table1[[#This Row],[Clicks]]/Table1[[#This Row],[Impressions]],0)</f>
        <v>2.0688941760628942E-3</v>
      </c>
      <c r="P91" s="5">
        <f>IFERROR(Table1[[#This Row],[Total Conversions]]/Table1[[#This Row],[Clicks]],0)</f>
        <v>0.27500000000000002</v>
      </c>
      <c r="Q91" s="10">
        <f>IFERROR(Table1[[#This Row],[Gross Cost]]/Table1[[#This Row],[Total Conversions]],0)</f>
        <v>662.92136900000003</v>
      </c>
      <c r="R91" s="10">
        <f>IFERROR(Table1[[#This Row],[Gross Cost]]/(Table1[[#This Row],[Impressions]]/1000),0)</f>
        <v>377.16639386572876</v>
      </c>
      <c r="S91" s="5">
        <f>IFERROR(Table1[[#This Row],[Viewable Impressions]]/Table1[[#This Row],[Measurable Impressions]],0)</f>
        <v>0.46684250188394877</v>
      </c>
      <c r="T91" s="10">
        <f>IFERROR(1000*Table1[[#This Row],[Gross Cost]]/Table1[[#This Row],[Viewable Impressions]],0)</f>
        <v>840.78577873861411</v>
      </c>
      <c r="U91" s="10"/>
    </row>
    <row r="92" spans="1:21" x14ac:dyDescent="0.2">
      <c r="A92" t="s">
        <v>80</v>
      </c>
      <c r="B92" t="s">
        <v>14</v>
      </c>
      <c r="C92" t="s">
        <v>22</v>
      </c>
      <c r="D92" t="s">
        <v>77</v>
      </c>
      <c r="E92" t="str">
        <f>TRIM(RIGHT(Table1[[#This Row],[Location]],LEN(Table1[[#This Row],[Location]])-FIND(",",Table1[[#This Row],[Location]])))</f>
        <v>New York</v>
      </c>
      <c r="F92" t="s">
        <v>81</v>
      </c>
      <c r="G92" t="s">
        <v>25</v>
      </c>
      <c r="H92" t="s">
        <v>51</v>
      </c>
      <c r="I92">
        <v>19379</v>
      </c>
      <c r="J92">
        <v>49</v>
      </c>
      <c r="K92">
        <v>12168</v>
      </c>
      <c r="L92">
        <v>16616</v>
      </c>
      <c r="M92">
        <v>97</v>
      </c>
      <c r="N92">
        <v>7294.1000009999998</v>
      </c>
      <c r="O92" s="7">
        <f>IFERROR(Table1[[#This Row],[Clicks]]/Table1[[#This Row],[Impressions]],0)</f>
        <v>2.528510243046597E-3</v>
      </c>
      <c r="P92" s="5">
        <f>IFERROR(Table1[[#This Row],[Total Conversions]]/Table1[[#This Row],[Clicks]],0)</f>
        <v>1.9795918367346939</v>
      </c>
      <c r="Q92" s="10">
        <f>IFERROR(Table1[[#This Row],[Gross Cost]]/Table1[[#This Row],[Total Conversions]],0)</f>
        <v>75.196907226804115</v>
      </c>
      <c r="R92" s="10">
        <f>IFERROR(Table1[[#This Row],[Gross Cost]]/(Table1[[#This Row],[Impressions]]/1000),0)</f>
        <v>376.39197074152429</v>
      </c>
      <c r="S92" s="5">
        <f>IFERROR(Table1[[#This Row],[Viewable Impressions]]/Table1[[#This Row],[Measurable Impressions]],0)</f>
        <v>0.7323062108810785</v>
      </c>
      <c r="T92" s="10">
        <f>IFERROR(1000*Table1[[#This Row],[Gross Cost]]/Table1[[#This Row],[Viewable Impressions]],0)</f>
        <v>599.44937549309668</v>
      </c>
      <c r="U92" s="10"/>
    </row>
    <row r="93" spans="1:21" x14ac:dyDescent="0.2">
      <c r="A93" t="s">
        <v>217</v>
      </c>
      <c r="B93" t="s">
        <v>60</v>
      </c>
      <c r="C93" t="s">
        <v>41</v>
      </c>
      <c r="D93" t="s">
        <v>34</v>
      </c>
      <c r="E93" t="str">
        <f>TRIM(RIGHT(Table1[[#This Row],[Location]],LEN(Table1[[#This Row],[Location]])-FIND(",",Table1[[#This Row],[Location]])))</f>
        <v>Illinois</v>
      </c>
      <c r="F93" t="s">
        <v>218</v>
      </c>
      <c r="G93" t="s">
        <v>18</v>
      </c>
      <c r="H93" t="s">
        <v>26</v>
      </c>
      <c r="I93">
        <v>19461</v>
      </c>
      <c r="J93">
        <v>74</v>
      </c>
      <c r="K93">
        <v>14647</v>
      </c>
      <c r="L93">
        <v>18731</v>
      </c>
      <c r="M93">
        <v>9</v>
      </c>
      <c r="N93">
        <v>7311.9987499999997</v>
      </c>
      <c r="O93" s="7">
        <f>IFERROR(Table1[[#This Row],[Clicks]]/Table1[[#This Row],[Impressions]],0)</f>
        <v>3.802476748368532E-3</v>
      </c>
      <c r="P93" s="5">
        <f>IFERROR(Table1[[#This Row],[Total Conversions]]/Table1[[#This Row],[Clicks]],0)</f>
        <v>0.12162162162162163</v>
      </c>
      <c r="Q93" s="10">
        <f>IFERROR(Table1[[#This Row],[Gross Cost]]/Table1[[#This Row],[Total Conversions]],0)</f>
        <v>812.4443055555555</v>
      </c>
      <c r="R93" s="10">
        <f>IFERROR(Table1[[#This Row],[Gross Cost]]/(Table1[[#This Row],[Impressions]]/1000),0)</f>
        <v>375.72574636452396</v>
      </c>
      <c r="S93" s="5">
        <f>IFERROR(Table1[[#This Row],[Viewable Impressions]]/Table1[[#This Row],[Measurable Impressions]],0)</f>
        <v>0.78196572526827179</v>
      </c>
      <c r="T93" s="10">
        <f>IFERROR(1000*Table1[[#This Row],[Gross Cost]]/Table1[[#This Row],[Viewable Impressions]],0)</f>
        <v>499.21477094285518</v>
      </c>
      <c r="U93" s="10"/>
    </row>
    <row r="94" spans="1:21" x14ac:dyDescent="0.2">
      <c r="A94" t="s">
        <v>441</v>
      </c>
      <c r="B94" t="s">
        <v>14</v>
      </c>
      <c r="C94" t="s">
        <v>30</v>
      </c>
      <c r="D94" t="s">
        <v>303</v>
      </c>
      <c r="E94" t="str">
        <f>TRIM(RIGHT(Table1[[#This Row],[Location]],LEN(Table1[[#This Row],[Location]])-FIND(",",Table1[[#This Row],[Location]])))</f>
        <v>Georgia</v>
      </c>
      <c r="F94" t="s">
        <v>442</v>
      </c>
      <c r="G94" t="s">
        <v>18</v>
      </c>
      <c r="H94" t="s">
        <v>26</v>
      </c>
      <c r="I94">
        <v>8730</v>
      </c>
      <c r="J94">
        <v>22</v>
      </c>
      <c r="K94">
        <v>3725</v>
      </c>
      <c r="L94">
        <v>7413</v>
      </c>
      <c r="M94">
        <v>3</v>
      </c>
      <c r="N94">
        <v>3268.007134</v>
      </c>
      <c r="O94" s="7">
        <f>IFERROR(Table1[[#This Row],[Clicks]]/Table1[[#This Row],[Impressions]],0)</f>
        <v>2.5200458190148913E-3</v>
      </c>
      <c r="P94" s="5">
        <f>IFERROR(Table1[[#This Row],[Total Conversions]]/Table1[[#This Row],[Clicks]],0)</f>
        <v>0.13636363636363635</v>
      </c>
      <c r="Q94" s="10">
        <f>IFERROR(Table1[[#This Row],[Gross Cost]]/Table1[[#This Row],[Total Conversions]],0)</f>
        <v>1089.3357113333334</v>
      </c>
      <c r="R94" s="10">
        <f>IFERROR(Table1[[#This Row],[Gross Cost]]/(Table1[[#This Row],[Impressions]]/1000),0)</f>
        <v>374.34216884306983</v>
      </c>
      <c r="S94" s="5">
        <f>IFERROR(Table1[[#This Row],[Viewable Impressions]]/Table1[[#This Row],[Measurable Impressions]],0)</f>
        <v>0.50249561581006341</v>
      </c>
      <c r="T94" s="10">
        <f>IFERROR(1000*Table1[[#This Row],[Gross Cost]]/Table1[[#This Row],[Viewable Impressions]],0)</f>
        <v>877.317351409396</v>
      </c>
      <c r="U94" s="10"/>
    </row>
    <row r="95" spans="1:21" x14ac:dyDescent="0.2">
      <c r="A95" t="s">
        <v>390</v>
      </c>
      <c r="B95" t="s">
        <v>21</v>
      </c>
      <c r="C95" t="s">
        <v>30</v>
      </c>
      <c r="D95" t="s">
        <v>34</v>
      </c>
      <c r="E95" t="str">
        <f>TRIM(RIGHT(Table1[[#This Row],[Location]],LEN(Table1[[#This Row],[Location]])-FIND(",",Table1[[#This Row],[Location]])))</f>
        <v>Illinois</v>
      </c>
      <c r="F95" t="s">
        <v>389</v>
      </c>
      <c r="G95" t="s">
        <v>18</v>
      </c>
      <c r="H95" t="s">
        <v>26</v>
      </c>
      <c r="I95">
        <v>18095</v>
      </c>
      <c r="J95">
        <v>50</v>
      </c>
      <c r="K95">
        <v>10021</v>
      </c>
      <c r="L95">
        <v>16755</v>
      </c>
      <c r="M95">
        <v>24</v>
      </c>
      <c r="N95">
        <v>6768.7587679999997</v>
      </c>
      <c r="O95" s="7">
        <f>IFERROR(Table1[[#This Row],[Clicks]]/Table1[[#This Row],[Impressions]],0)</f>
        <v>2.7631942525559545E-3</v>
      </c>
      <c r="P95" s="5">
        <f>IFERROR(Table1[[#This Row],[Total Conversions]]/Table1[[#This Row],[Clicks]],0)</f>
        <v>0.48</v>
      </c>
      <c r="Q95" s="10">
        <f>IFERROR(Table1[[#This Row],[Gross Cost]]/Table1[[#This Row],[Total Conversions]],0)</f>
        <v>282.03161533333332</v>
      </c>
      <c r="R95" s="10">
        <f>IFERROR(Table1[[#This Row],[Gross Cost]]/(Table1[[#This Row],[Impressions]]/1000),0)</f>
        <v>374.06790649350648</v>
      </c>
      <c r="S95" s="5">
        <f>IFERROR(Table1[[#This Row],[Viewable Impressions]]/Table1[[#This Row],[Measurable Impressions]],0)</f>
        <v>0.5980901223515368</v>
      </c>
      <c r="T95" s="10">
        <f>IFERROR(1000*Table1[[#This Row],[Gross Cost]]/Table1[[#This Row],[Viewable Impressions]],0)</f>
        <v>675.4574162259255</v>
      </c>
      <c r="U95" s="10"/>
    </row>
    <row r="96" spans="1:21" x14ac:dyDescent="0.2">
      <c r="A96" t="s">
        <v>253</v>
      </c>
      <c r="B96" t="s">
        <v>14</v>
      </c>
      <c r="C96" t="s">
        <v>15</v>
      </c>
      <c r="D96" t="s">
        <v>34</v>
      </c>
      <c r="E96" t="str">
        <f>TRIM(RIGHT(Table1[[#This Row],[Location]],LEN(Table1[[#This Row],[Location]])-FIND(",",Table1[[#This Row],[Location]])))</f>
        <v>Illinois</v>
      </c>
      <c r="F96" t="s">
        <v>254</v>
      </c>
      <c r="G96" t="s">
        <v>18</v>
      </c>
      <c r="H96" t="s">
        <v>26</v>
      </c>
      <c r="I96">
        <v>9328</v>
      </c>
      <c r="J96">
        <v>56</v>
      </c>
      <c r="K96">
        <v>7102</v>
      </c>
      <c r="L96">
        <v>8925</v>
      </c>
      <c r="M96">
        <v>5</v>
      </c>
      <c r="N96">
        <v>3408.0760489999998</v>
      </c>
      <c r="O96" s="7">
        <f>IFERROR(Table1[[#This Row],[Clicks]]/Table1[[#This Row],[Impressions]],0)</f>
        <v>6.0034305317324182E-3</v>
      </c>
      <c r="P96" s="5">
        <f>IFERROR(Table1[[#This Row],[Total Conversions]]/Table1[[#This Row],[Clicks]],0)</f>
        <v>8.9285714285714288E-2</v>
      </c>
      <c r="Q96" s="10">
        <f>IFERROR(Table1[[#This Row],[Gross Cost]]/Table1[[#This Row],[Total Conversions]],0)</f>
        <v>681.6152098</v>
      </c>
      <c r="R96" s="10">
        <f>IFERROR(Table1[[#This Row],[Gross Cost]]/(Table1[[#This Row],[Impressions]]/1000),0)</f>
        <v>365.35978226843912</v>
      </c>
      <c r="S96" s="5">
        <f>IFERROR(Table1[[#This Row],[Viewable Impressions]]/Table1[[#This Row],[Measurable Impressions]],0)</f>
        <v>0.79574229691876752</v>
      </c>
      <c r="T96" s="10">
        <f>IFERROR(1000*Table1[[#This Row],[Gross Cost]]/Table1[[#This Row],[Viewable Impressions]],0)</f>
        <v>479.87553491974086</v>
      </c>
      <c r="U96" s="10"/>
    </row>
    <row r="97" spans="1:21" x14ac:dyDescent="0.2">
      <c r="A97" t="s">
        <v>168</v>
      </c>
      <c r="B97" t="s">
        <v>21</v>
      </c>
      <c r="C97" t="s">
        <v>30</v>
      </c>
      <c r="D97" t="s">
        <v>38</v>
      </c>
      <c r="E97" t="str">
        <f>TRIM(RIGHT(Table1[[#This Row],[Location]],LEN(Table1[[#This Row],[Location]])-FIND(",",Table1[[#This Row],[Location]])))</f>
        <v>Tennessee</v>
      </c>
      <c r="F97" t="s">
        <v>169</v>
      </c>
      <c r="G97" t="s">
        <v>18</v>
      </c>
      <c r="H97" t="s">
        <v>26</v>
      </c>
      <c r="I97">
        <v>18633</v>
      </c>
      <c r="J97">
        <v>60</v>
      </c>
      <c r="K97">
        <v>9424</v>
      </c>
      <c r="L97">
        <v>18087</v>
      </c>
      <c r="M97">
        <v>15</v>
      </c>
      <c r="N97">
        <v>6785.0632930000002</v>
      </c>
      <c r="O97" s="7">
        <f>IFERROR(Table1[[#This Row],[Clicks]]/Table1[[#This Row],[Impressions]],0)</f>
        <v>3.2200933827080985E-3</v>
      </c>
      <c r="P97" s="5">
        <f>IFERROR(Table1[[#This Row],[Total Conversions]]/Table1[[#This Row],[Clicks]],0)</f>
        <v>0.25</v>
      </c>
      <c r="Q97" s="10">
        <f>IFERROR(Table1[[#This Row],[Gross Cost]]/Table1[[#This Row],[Total Conversions]],0)</f>
        <v>452.33755286666667</v>
      </c>
      <c r="R97" s="10">
        <f>IFERROR(Table1[[#This Row],[Gross Cost]]/(Table1[[#This Row],[Impressions]]/1000),0)</f>
        <v>364.14229018408201</v>
      </c>
      <c r="S97" s="5">
        <f>IFERROR(Table1[[#This Row],[Viewable Impressions]]/Table1[[#This Row],[Measurable Impressions]],0)</f>
        <v>0.52103720904517059</v>
      </c>
      <c r="T97" s="10">
        <f>IFERROR(1000*Table1[[#This Row],[Gross Cost]]/Table1[[#This Row],[Viewable Impressions]],0)</f>
        <v>719.97700477504247</v>
      </c>
      <c r="U97" s="10"/>
    </row>
    <row r="98" spans="1:21" x14ac:dyDescent="0.2">
      <c r="A98" t="s">
        <v>749</v>
      </c>
      <c r="B98" t="s">
        <v>21</v>
      </c>
      <c r="C98" t="s">
        <v>15</v>
      </c>
      <c r="D98" t="s">
        <v>54</v>
      </c>
      <c r="E98" t="str">
        <f>TRIM(RIGHT(Table1[[#This Row],[Location]],LEN(Table1[[#This Row],[Location]])-FIND(",",Table1[[#This Row],[Location]])))</f>
        <v>Florida</v>
      </c>
      <c r="F98" t="s">
        <v>742</v>
      </c>
      <c r="G98" t="s">
        <v>35</v>
      </c>
      <c r="H98" t="s">
        <v>26</v>
      </c>
      <c r="I98">
        <v>14581</v>
      </c>
      <c r="J98">
        <v>45</v>
      </c>
      <c r="K98">
        <v>3821</v>
      </c>
      <c r="L98">
        <v>12741</v>
      </c>
      <c r="M98">
        <v>6</v>
      </c>
      <c r="N98">
        <v>5296.9700910000001</v>
      </c>
      <c r="O98" s="7">
        <f>IFERROR(Table1[[#This Row],[Clicks]]/Table1[[#This Row],[Impressions]],0)</f>
        <v>3.0862080790069269E-3</v>
      </c>
      <c r="P98" s="5">
        <f>IFERROR(Table1[[#This Row],[Total Conversions]]/Table1[[#This Row],[Clicks]],0)</f>
        <v>0.13333333333333333</v>
      </c>
      <c r="Q98" s="10">
        <f>IFERROR(Table1[[#This Row],[Gross Cost]]/Table1[[#This Row],[Total Conversions]],0)</f>
        <v>882.82834850000006</v>
      </c>
      <c r="R98" s="10">
        <f>IFERROR(Table1[[#This Row],[Gross Cost]]/(Table1[[#This Row],[Impressions]]/1000),0)</f>
        <v>363.27893086893903</v>
      </c>
      <c r="S98" s="5">
        <f>IFERROR(Table1[[#This Row],[Viewable Impressions]]/Table1[[#This Row],[Measurable Impressions]],0)</f>
        <v>0.29989796719252804</v>
      </c>
      <c r="T98" s="10">
        <f>IFERROR(1000*Table1[[#This Row],[Gross Cost]]/Table1[[#This Row],[Viewable Impressions]],0)</f>
        <v>1386.2784849515833</v>
      </c>
      <c r="U98" s="10"/>
    </row>
    <row r="99" spans="1:21" x14ac:dyDescent="0.2">
      <c r="A99" t="s">
        <v>865</v>
      </c>
      <c r="B99" t="s">
        <v>21</v>
      </c>
      <c r="C99" t="s">
        <v>41</v>
      </c>
      <c r="D99" t="s">
        <v>77</v>
      </c>
      <c r="E99" t="str">
        <f>TRIM(RIGHT(Table1[[#This Row],[Location]],LEN(Table1[[#This Row],[Location]])-FIND(",",Table1[[#This Row],[Location]])))</f>
        <v>New York</v>
      </c>
      <c r="F99" t="s">
        <v>864</v>
      </c>
      <c r="G99" t="s">
        <v>18</v>
      </c>
      <c r="H99" t="s">
        <v>26</v>
      </c>
      <c r="I99">
        <v>18081</v>
      </c>
      <c r="J99">
        <v>44</v>
      </c>
      <c r="K99">
        <v>4545</v>
      </c>
      <c r="L99">
        <v>15617</v>
      </c>
      <c r="M99">
        <v>15</v>
      </c>
      <c r="N99">
        <v>6522.6375260000004</v>
      </c>
      <c r="O99" s="7">
        <f>IFERROR(Table1[[#This Row],[Clicks]]/Table1[[#This Row],[Impressions]],0)</f>
        <v>2.4334937226923288E-3</v>
      </c>
      <c r="P99" s="5">
        <f>IFERROR(Table1[[#This Row],[Total Conversions]]/Table1[[#This Row],[Clicks]],0)</f>
        <v>0.34090909090909088</v>
      </c>
      <c r="Q99" s="10">
        <f>IFERROR(Table1[[#This Row],[Gross Cost]]/Table1[[#This Row],[Total Conversions]],0)</f>
        <v>434.84250173333334</v>
      </c>
      <c r="R99" s="10">
        <f>IFERROR(Table1[[#This Row],[Gross Cost]]/(Table1[[#This Row],[Impressions]]/1000),0)</f>
        <v>360.74539715723694</v>
      </c>
      <c r="S99" s="5">
        <f>IFERROR(Table1[[#This Row],[Viewable Impressions]]/Table1[[#This Row],[Measurable Impressions]],0)</f>
        <v>0.29102900685150795</v>
      </c>
      <c r="T99" s="10">
        <f>IFERROR(1000*Table1[[#This Row],[Gross Cost]]/Table1[[#This Row],[Viewable Impressions]],0)</f>
        <v>1435.1237680968097</v>
      </c>
      <c r="U99" s="10"/>
    </row>
    <row r="100" spans="1:21" x14ac:dyDescent="0.2">
      <c r="A100" t="s">
        <v>548</v>
      </c>
      <c r="B100" t="s">
        <v>14</v>
      </c>
      <c r="C100" t="s">
        <v>22</v>
      </c>
      <c r="D100" t="s">
        <v>130</v>
      </c>
      <c r="E100" t="str">
        <f>TRIM(RIGHT(Table1[[#This Row],[Location]],LEN(Table1[[#This Row],[Location]])-FIND(",",Table1[[#This Row],[Location]])))</f>
        <v>Michigan</v>
      </c>
      <c r="F100" t="s">
        <v>538</v>
      </c>
      <c r="G100" t="s">
        <v>18</v>
      </c>
      <c r="H100" t="s">
        <v>26</v>
      </c>
      <c r="I100">
        <v>14730</v>
      </c>
      <c r="J100">
        <v>86</v>
      </c>
      <c r="K100">
        <v>6410</v>
      </c>
      <c r="L100">
        <v>10860</v>
      </c>
      <c r="M100">
        <v>6</v>
      </c>
      <c r="N100">
        <v>5287.5675279999996</v>
      </c>
      <c r="O100" s="7">
        <f>IFERROR(Table1[[#This Row],[Clicks]]/Table1[[#This Row],[Impressions]],0)</f>
        <v>5.8384249830278345E-3</v>
      </c>
      <c r="P100" s="5">
        <f>IFERROR(Table1[[#This Row],[Total Conversions]]/Table1[[#This Row],[Clicks]],0)</f>
        <v>6.9767441860465115E-2</v>
      </c>
      <c r="Q100" s="10">
        <f>IFERROR(Table1[[#This Row],[Gross Cost]]/Table1[[#This Row],[Total Conversions]],0)</f>
        <v>881.26125466666656</v>
      </c>
      <c r="R100" s="10">
        <f>IFERROR(Table1[[#This Row],[Gross Cost]]/(Table1[[#This Row],[Impressions]]/1000),0)</f>
        <v>358.96588784792937</v>
      </c>
      <c r="S100" s="5">
        <f>IFERROR(Table1[[#This Row],[Viewable Impressions]]/Table1[[#This Row],[Measurable Impressions]],0)</f>
        <v>0.59023941068139962</v>
      </c>
      <c r="T100" s="10">
        <f>IFERROR(1000*Table1[[#This Row],[Gross Cost]]/Table1[[#This Row],[Viewable Impressions]],0)</f>
        <v>824.89353010920433</v>
      </c>
      <c r="U100" s="10"/>
    </row>
    <row r="101" spans="1:21" x14ac:dyDescent="0.2">
      <c r="A101" t="s">
        <v>572</v>
      </c>
      <c r="B101" t="s">
        <v>14</v>
      </c>
      <c r="C101" t="s">
        <v>41</v>
      </c>
      <c r="D101" t="s">
        <v>28</v>
      </c>
      <c r="E101" t="str">
        <f>TRIM(RIGHT(Table1[[#This Row],[Location]],LEN(Table1[[#This Row],[Location]])-FIND(",",Table1[[#This Row],[Location]])))</f>
        <v>California</v>
      </c>
      <c r="F101" t="s">
        <v>573</v>
      </c>
      <c r="G101" t="s">
        <v>116</v>
      </c>
      <c r="H101" t="s">
        <v>26</v>
      </c>
      <c r="I101">
        <v>14398</v>
      </c>
      <c r="J101">
        <v>30</v>
      </c>
      <c r="K101">
        <v>2807</v>
      </c>
      <c r="L101">
        <v>13393</v>
      </c>
      <c r="M101">
        <v>7</v>
      </c>
      <c r="N101">
        <v>5154.6445549999999</v>
      </c>
      <c r="O101" s="7">
        <f>IFERROR(Table1[[#This Row],[Clicks]]/Table1[[#This Row],[Impressions]],0)</f>
        <v>2.0836227253785249E-3</v>
      </c>
      <c r="P101" s="5">
        <f>IFERROR(Table1[[#This Row],[Total Conversions]]/Table1[[#This Row],[Clicks]],0)</f>
        <v>0.23333333333333334</v>
      </c>
      <c r="Q101" s="10">
        <f>IFERROR(Table1[[#This Row],[Gross Cost]]/Table1[[#This Row],[Total Conversions]],0)</f>
        <v>736.37779357142858</v>
      </c>
      <c r="R101" s="10">
        <f>IFERROR(Table1[[#This Row],[Gross Cost]]/(Table1[[#This Row],[Impressions]]/1000),0)</f>
        <v>358.01115120155578</v>
      </c>
      <c r="S101" s="5">
        <f>IFERROR(Table1[[#This Row],[Viewable Impressions]]/Table1[[#This Row],[Measurable Impressions]],0)</f>
        <v>0.20958709773762413</v>
      </c>
      <c r="T101" s="10">
        <f>IFERROR(1000*Table1[[#This Row],[Gross Cost]]/Table1[[#This Row],[Viewable Impressions]],0)</f>
        <v>1836.3535999287494</v>
      </c>
      <c r="U101" s="10"/>
    </row>
    <row r="102" spans="1:21" x14ac:dyDescent="0.2">
      <c r="A102" t="s">
        <v>289</v>
      </c>
      <c r="B102" t="s">
        <v>21</v>
      </c>
      <c r="C102" t="s">
        <v>15</v>
      </c>
      <c r="D102" t="s">
        <v>16</v>
      </c>
      <c r="E102" t="str">
        <f>TRIM(RIGHT(Table1[[#This Row],[Location]],LEN(Table1[[#This Row],[Location]])-FIND(",",Table1[[#This Row],[Location]])))</f>
        <v>California</v>
      </c>
      <c r="F102" t="s">
        <v>290</v>
      </c>
      <c r="G102" t="s">
        <v>35</v>
      </c>
      <c r="H102" t="s">
        <v>26</v>
      </c>
      <c r="I102">
        <v>18401</v>
      </c>
      <c r="J102">
        <v>66</v>
      </c>
      <c r="K102">
        <v>11051</v>
      </c>
      <c r="L102">
        <v>17202</v>
      </c>
      <c r="M102">
        <v>26</v>
      </c>
      <c r="N102">
        <v>6571.4915520000004</v>
      </c>
      <c r="O102" s="7">
        <f>IFERROR(Table1[[#This Row],[Clicks]]/Table1[[#This Row],[Impressions]],0)</f>
        <v>3.5867615890440739E-3</v>
      </c>
      <c r="P102" s="5">
        <f>IFERROR(Table1[[#This Row],[Total Conversions]]/Table1[[#This Row],[Clicks]],0)</f>
        <v>0.39393939393939392</v>
      </c>
      <c r="Q102" s="10">
        <f>IFERROR(Table1[[#This Row],[Gross Cost]]/Table1[[#This Row],[Total Conversions]],0)</f>
        <v>252.7496750769231</v>
      </c>
      <c r="R102" s="10">
        <f>IFERROR(Table1[[#This Row],[Gross Cost]]/(Table1[[#This Row],[Impressions]]/1000),0)</f>
        <v>357.12687093092768</v>
      </c>
      <c r="S102" s="5">
        <f>IFERROR(Table1[[#This Row],[Viewable Impressions]]/Table1[[#This Row],[Measurable Impressions]],0)</f>
        <v>0.64242529938379256</v>
      </c>
      <c r="T102" s="10">
        <f>IFERROR(1000*Table1[[#This Row],[Gross Cost]]/Table1[[#This Row],[Viewable Impressions]],0)</f>
        <v>594.65130323047686</v>
      </c>
      <c r="U102" s="10"/>
    </row>
    <row r="103" spans="1:21" x14ac:dyDescent="0.2">
      <c r="A103" t="s">
        <v>626</v>
      </c>
      <c r="B103" t="s">
        <v>60</v>
      </c>
      <c r="C103" t="s">
        <v>15</v>
      </c>
      <c r="D103" t="s">
        <v>77</v>
      </c>
      <c r="E103" t="str">
        <f>TRIM(RIGHT(Table1[[#This Row],[Location]],LEN(Table1[[#This Row],[Location]])-FIND(",",Table1[[#This Row],[Location]])))</f>
        <v>New York</v>
      </c>
      <c r="F103" t="s">
        <v>611</v>
      </c>
      <c r="G103" t="s">
        <v>45</v>
      </c>
      <c r="H103" t="s">
        <v>26</v>
      </c>
      <c r="I103">
        <v>13946</v>
      </c>
      <c r="J103">
        <v>40</v>
      </c>
      <c r="K103">
        <v>3142</v>
      </c>
      <c r="L103">
        <v>8823</v>
      </c>
      <c r="M103">
        <v>8</v>
      </c>
      <c r="N103">
        <v>4920.2346299999999</v>
      </c>
      <c r="O103" s="7">
        <f>IFERROR(Table1[[#This Row],[Clicks]]/Table1[[#This Row],[Impressions]],0)</f>
        <v>2.8682059371862899E-3</v>
      </c>
      <c r="P103" s="5">
        <f>IFERROR(Table1[[#This Row],[Total Conversions]]/Table1[[#This Row],[Clicks]],0)</f>
        <v>0.2</v>
      </c>
      <c r="Q103" s="10">
        <f>IFERROR(Table1[[#This Row],[Gross Cost]]/Table1[[#This Row],[Total Conversions]],0)</f>
        <v>615.02932874999999</v>
      </c>
      <c r="R103" s="10">
        <f>IFERROR(Table1[[#This Row],[Gross Cost]]/(Table1[[#This Row],[Impressions]]/1000),0)</f>
        <v>352.8061544528897</v>
      </c>
      <c r="S103" s="5">
        <f>IFERROR(Table1[[#This Row],[Viewable Impressions]]/Table1[[#This Row],[Measurable Impressions]],0)</f>
        <v>0.35611470021534625</v>
      </c>
      <c r="T103" s="10">
        <f>IFERROR(1000*Table1[[#This Row],[Gross Cost]]/Table1[[#This Row],[Viewable Impressions]],0)</f>
        <v>1565.9562794398471</v>
      </c>
      <c r="U103" s="10"/>
    </row>
    <row r="104" spans="1:21" x14ac:dyDescent="0.2">
      <c r="A104" t="s">
        <v>39</v>
      </c>
      <c r="B104" t="s">
        <v>14</v>
      </c>
      <c r="C104" t="s">
        <v>30</v>
      </c>
      <c r="D104" t="s">
        <v>38</v>
      </c>
      <c r="E104" t="str">
        <f>TRIM(RIGHT(Table1[[#This Row],[Location]],LEN(Table1[[#This Row],[Location]])-FIND(",",Table1[[#This Row],[Location]])))</f>
        <v>Tennessee</v>
      </c>
      <c r="F104" t="s">
        <v>24</v>
      </c>
      <c r="G104" t="s">
        <v>18</v>
      </c>
      <c r="H104" t="s">
        <v>26</v>
      </c>
      <c r="I104">
        <v>14730</v>
      </c>
      <c r="J104">
        <v>88</v>
      </c>
      <c r="K104">
        <v>1272</v>
      </c>
      <c r="L104">
        <v>12427</v>
      </c>
      <c r="M104">
        <v>3</v>
      </c>
      <c r="N104">
        <v>5190.5359980000003</v>
      </c>
      <c r="O104" s="7">
        <f>IFERROR(Table1[[#This Row],[Clicks]]/Table1[[#This Row],[Impressions]],0)</f>
        <v>5.9742023082145282E-3</v>
      </c>
      <c r="P104" s="5">
        <f>IFERROR(Table1[[#This Row],[Total Conversions]]/Table1[[#This Row],[Clicks]],0)</f>
        <v>3.4090909090909088E-2</v>
      </c>
      <c r="Q104" s="10">
        <f>IFERROR(Table1[[#This Row],[Gross Cost]]/Table1[[#This Row],[Total Conversions]],0)</f>
        <v>1730.178666</v>
      </c>
      <c r="R104" s="10">
        <f>IFERROR(Table1[[#This Row],[Gross Cost]]/(Table1[[#This Row],[Impressions]]/1000),0)</f>
        <v>352.37854704684321</v>
      </c>
      <c r="S104" s="5">
        <f>IFERROR(Table1[[#This Row],[Viewable Impressions]]/Table1[[#This Row],[Measurable Impressions]],0)</f>
        <v>0.10235776937313913</v>
      </c>
      <c r="T104" s="10">
        <f>IFERROR(1000*Table1[[#This Row],[Gross Cost]]/Table1[[#This Row],[Viewable Impressions]],0)</f>
        <v>4080.610061320755</v>
      </c>
      <c r="U104" s="10"/>
    </row>
    <row r="105" spans="1:21" x14ac:dyDescent="0.2">
      <c r="A105" t="s">
        <v>956</v>
      </c>
      <c r="B105" t="s">
        <v>14</v>
      </c>
      <c r="C105" t="s">
        <v>15</v>
      </c>
      <c r="D105" t="s">
        <v>54</v>
      </c>
      <c r="E105" t="str">
        <f>TRIM(RIGHT(Table1[[#This Row],[Location]],LEN(Table1[[#This Row],[Location]])-FIND(",",Table1[[#This Row],[Location]])))</f>
        <v>Florida</v>
      </c>
      <c r="F105" t="s">
        <v>957</v>
      </c>
      <c r="G105" t="s">
        <v>49</v>
      </c>
      <c r="H105" t="s">
        <v>26</v>
      </c>
      <c r="I105">
        <v>14599</v>
      </c>
      <c r="J105">
        <v>33</v>
      </c>
      <c r="K105">
        <v>1779</v>
      </c>
      <c r="L105">
        <v>12458</v>
      </c>
      <c r="M105">
        <v>4</v>
      </c>
      <c r="N105">
        <v>5092.5592150000002</v>
      </c>
      <c r="O105" s="7">
        <f>IFERROR(Table1[[#This Row],[Clicks]]/Table1[[#This Row],[Impressions]],0)</f>
        <v>2.2604287964929103E-3</v>
      </c>
      <c r="P105" s="5">
        <f>IFERROR(Table1[[#This Row],[Total Conversions]]/Table1[[#This Row],[Clicks]],0)</f>
        <v>0.12121212121212122</v>
      </c>
      <c r="Q105" s="10">
        <f>IFERROR(Table1[[#This Row],[Gross Cost]]/Table1[[#This Row],[Total Conversions]],0)</f>
        <v>1273.1398037500001</v>
      </c>
      <c r="R105" s="10">
        <f>IFERROR(Table1[[#This Row],[Gross Cost]]/(Table1[[#This Row],[Impressions]]/1000),0)</f>
        <v>348.82931810397974</v>
      </c>
      <c r="S105" s="5">
        <f>IFERROR(Table1[[#This Row],[Viewable Impressions]]/Table1[[#This Row],[Measurable Impressions]],0)</f>
        <v>0.14279980735270509</v>
      </c>
      <c r="T105" s="10">
        <f>IFERROR(1000*Table1[[#This Row],[Gross Cost]]/Table1[[#This Row],[Viewable Impressions]],0)</f>
        <v>2862.596523327712</v>
      </c>
      <c r="U105" s="10"/>
    </row>
    <row r="106" spans="1:21" x14ac:dyDescent="0.2">
      <c r="A106" t="s">
        <v>748</v>
      </c>
      <c r="B106" t="s">
        <v>14</v>
      </c>
      <c r="C106" t="s">
        <v>41</v>
      </c>
      <c r="D106" t="s">
        <v>34</v>
      </c>
      <c r="E106" t="str">
        <f>TRIM(RIGHT(Table1[[#This Row],[Location]],LEN(Table1[[#This Row],[Location]])-FIND(",",Table1[[#This Row],[Location]])))</f>
        <v>Illinois</v>
      </c>
      <c r="F106" t="s">
        <v>742</v>
      </c>
      <c r="G106" t="s">
        <v>116</v>
      </c>
      <c r="H106" t="s">
        <v>51</v>
      </c>
      <c r="I106">
        <v>16978</v>
      </c>
      <c r="J106">
        <v>30</v>
      </c>
      <c r="K106">
        <v>8367</v>
      </c>
      <c r="L106">
        <v>15731</v>
      </c>
      <c r="M106">
        <v>9</v>
      </c>
      <c r="N106">
        <v>5886.0711460000002</v>
      </c>
      <c r="O106" s="7">
        <f>IFERROR(Table1[[#This Row],[Clicks]]/Table1[[#This Row],[Impressions]],0)</f>
        <v>1.7669925786311697E-3</v>
      </c>
      <c r="P106" s="5">
        <f>IFERROR(Table1[[#This Row],[Total Conversions]]/Table1[[#This Row],[Clicks]],0)</f>
        <v>0.3</v>
      </c>
      <c r="Q106" s="10">
        <f>IFERROR(Table1[[#This Row],[Gross Cost]]/Table1[[#This Row],[Total Conversions]],0)</f>
        <v>654.00790511111109</v>
      </c>
      <c r="R106" s="10">
        <f>IFERROR(Table1[[#This Row],[Gross Cost]]/(Table1[[#This Row],[Impressions]]/1000),0)</f>
        <v>346.68813440923549</v>
      </c>
      <c r="S106" s="5">
        <f>IFERROR(Table1[[#This Row],[Viewable Impressions]]/Table1[[#This Row],[Measurable Impressions]],0)</f>
        <v>0.53187972792575167</v>
      </c>
      <c r="T106" s="10">
        <f>IFERROR(1000*Table1[[#This Row],[Gross Cost]]/Table1[[#This Row],[Viewable Impressions]],0)</f>
        <v>703.4864522528984</v>
      </c>
      <c r="U106" s="10"/>
    </row>
    <row r="107" spans="1:21" x14ac:dyDescent="0.2">
      <c r="A107" t="s">
        <v>91</v>
      </c>
      <c r="B107" t="s">
        <v>21</v>
      </c>
      <c r="C107" t="s">
        <v>41</v>
      </c>
      <c r="D107" t="s">
        <v>77</v>
      </c>
      <c r="E107" t="str">
        <f>TRIM(RIGHT(Table1[[#This Row],[Location]],LEN(Table1[[#This Row],[Location]])-FIND(",",Table1[[#This Row],[Location]])))</f>
        <v>New York</v>
      </c>
      <c r="F107" t="s">
        <v>92</v>
      </c>
      <c r="G107" t="s">
        <v>18</v>
      </c>
      <c r="H107" t="s">
        <v>26</v>
      </c>
      <c r="I107">
        <v>19093</v>
      </c>
      <c r="J107">
        <v>50</v>
      </c>
      <c r="K107">
        <v>9626</v>
      </c>
      <c r="L107">
        <v>17815</v>
      </c>
      <c r="M107">
        <v>10</v>
      </c>
      <c r="N107">
        <v>6612.1456900000003</v>
      </c>
      <c r="O107" s="7">
        <f>IFERROR(Table1[[#This Row],[Clicks]]/Table1[[#This Row],[Impressions]],0)</f>
        <v>2.6187608023883098E-3</v>
      </c>
      <c r="P107" s="5">
        <f>IFERROR(Table1[[#This Row],[Total Conversions]]/Table1[[#This Row],[Clicks]],0)</f>
        <v>0.2</v>
      </c>
      <c r="Q107" s="10">
        <f>IFERROR(Table1[[#This Row],[Gross Cost]]/Table1[[#This Row],[Total Conversions]],0)</f>
        <v>661.21456899999998</v>
      </c>
      <c r="R107" s="10">
        <f>IFERROR(Table1[[#This Row],[Gross Cost]]/(Table1[[#This Row],[Impressions]]/1000),0)</f>
        <v>346.31255905305613</v>
      </c>
      <c r="S107" s="5">
        <f>IFERROR(Table1[[#This Row],[Viewable Impressions]]/Table1[[#This Row],[Measurable Impressions]],0)</f>
        <v>0.54033118158854898</v>
      </c>
      <c r="T107" s="10">
        <f>IFERROR(1000*Table1[[#This Row],[Gross Cost]]/Table1[[#This Row],[Viewable Impressions]],0)</f>
        <v>686.90480885102852</v>
      </c>
      <c r="U107" s="10"/>
    </row>
    <row r="108" spans="1:21" x14ac:dyDescent="0.2">
      <c r="A108" t="s">
        <v>669</v>
      </c>
      <c r="B108" t="s">
        <v>14</v>
      </c>
      <c r="C108" t="s">
        <v>30</v>
      </c>
      <c r="D108" t="s">
        <v>34</v>
      </c>
      <c r="E108" t="str">
        <f>TRIM(RIGHT(Table1[[#This Row],[Location]],LEN(Table1[[#This Row],[Location]])-FIND(",",Table1[[#This Row],[Location]])))</f>
        <v>Illinois</v>
      </c>
      <c r="F108" t="s">
        <v>668</v>
      </c>
      <c r="G108" t="s">
        <v>45</v>
      </c>
      <c r="H108" t="s">
        <v>26</v>
      </c>
      <c r="I108">
        <v>16503</v>
      </c>
      <c r="J108">
        <v>69</v>
      </c>
      <c r="K108">
        <v>8595</v>
      </c>
      <c r="L108">
        <v>14466</v>
      </c>
      <c r="M108">
        <v>7</v>
      </c>
      <c r="N108">
        <v>5714.5238669999999</v>
      </c>
      <c r="O108" s="7">
        <f>IFERROR(Table1[[#This Row],[Clicks]]/Table1[[#This Row],[Impressions]],0)</f>
        <v>4.1810579894564623E-3</v>
      </c>
      <c r="P108" s="5">
        <f>IFERROR(Table1[[#This Row],[Total Conversions]]/Table1[[#This Row],[Clicks]],0)</f>
        <v>0.10144927536231885</v>
      </c>
      <c r="Q108" s="10">
        <f>IFERROR(Table1[[#This Row],[Gross Cost]]/Table1[[#This Row],[Total Conversions]],0)</f>
        <v>816.3605524285714</v>
      </c>
      <c r="R108" s="10">
        <f>IFERROR(Table1[[#This Row],[Gross Cost]]/(Table1[[#This Row],[Impressions]]/1000),0)</f>
        <v>346.2718213052172</v>
      </c>
      <c r="S108" s="5">
        <f>IFERROR(Table1[[#This Row],[Viewable Impressions]]/Table1[[#This Row],[Measurable Impressions]],0)</f>
        <v>0.59415180423060976</v>
      </c>
      <c r="T108" s="10">
        <f>IFERROR(1000*Table1[[#This Row],[Gross Cost]]/Table1[[#This Row],[Viewable Impressions]],0)</f>
        <v>664.86606945898779</v>
      </c>
      <c r="U108" s="10"/>
    </row>
    <row r="109" spans="1:21" x14ac:dyDescent="0.2">
      <c r="A109" t="s">
        <v>106</v>
      </c>
      <c r="B109" t="s">
        <v>60</v>
      </c>
      <c r="C109" t="s">
        <v>41</v>
      </c>
      <c r="D109" t="s">
        <v>28</v>
      </c>
      <c r="E109" t="str">
        <f>TRIM(RIGHT(Table1[[#This Row],[Location]],LEN(Table1[[#This Row],[Location]])-FIND(",",Table1[[#This Row],[Location]])))</f>
        <v>California</v>
      </c>
      <c r="F109" t="s">
        <v>104</v>
      </c>
      <c r="G109" t="s">
        <v>45</v>
      </c>
      <c r="H109" t="s">
        <v>26</v>
      </c>
      <c r="I109">
        <v>13686</v>
      </c>
      <c r="J109">
        <v>66</v>
      </c>
      <c r="K109">
        <v>7928</v>
      </c>
      <c r="L109">
        <v>11931</v>
      </c>
      <c r="M109">
        <v>11</v>
      </c>
      <c r="N109">
        <v>4660.5603689999998</v>
      </c>
      <c r="O109" s="7">
        <f>IFERROR(Table1[[#This Row],[Clicks]]/Table1[[#This Row],[Impressions]],0)</f>
        <v>4.8224462954844366E-3</v>
      </c>
      <c r="P109" s="5">
        <f>IFERROR(Table1[[#This Row],[Total Conversions]]/Table1[[#This Row],[Clicks]],0)</f>
        <v>0.16666666666666666</v>
      </c>
      <c r="Q109" s="10">
        <f>IFERROR(Table1[[#This Row],[Gross Cost]]/Table1[[#This Row],[Total Conversions]],0)</f>
        <v>423.68730627272726</v>
      </c>
      <c r="R109" s="10">
        <f>IFERROR(Table1[[#This Row],[Gross Cost]]/(Table1[[#This Row],[Impressions]]/1000),0)</f>
        <v>340.53488009644889</v>
      </c>
      <c r="S109" s="5">
        <f>IFERROR(Table1[[#This Row],[Viewable Impressions]]/Table1[[#This Row],[Measurable Impressions]],0)</f>
        <v>0.66448746961696425</v>
      </c>
      <c r="T109" s="10">
        <f>IFERROR(1000*Table1[[#This Row],[Gross Cost]]/Table1[[#This Row],[Viewable Impressions]],0)</f>
        <v>587.86079326437937</v>
      </c>
      <c r="U109" s="10"/>
    </row>
    <row r="110" spans="1:21" x14ac:dyDescent="0.2">
      <c r="A110" t="s">
        <v>981</v>
      </c>
      <c r="B110" t="s">
        <v>60</v>
      </c>
      <c r="C110" t="s">
        <v>22</v>
      </c>
      <c r="D110" t="s">
        <v>16</v>
      </c>
      <c r="E110" t="str">
        <f>TRIM(RIGHT(Table1[[#This Row],[Location]],LEN(Table1[[#This Row],[Location]])-FIND(",",Table1[[#This Row],[Location]])))</f>
        <v>California</v>
      </c>
      <c r="F110" t="s">
        <v>982</v>
      </c>
      <c r="G110" t="s">
        <v>18</v>
      </c>
      <c r="H110" t="s">
        <v>26</v>
      </c>
      <c r="I110">
        <v>17382</v>
      </c>
      <c r="J110">
        <v>100</v>
      </c>
      <c r="K110">
        <v>7411</v>
      </c>
      <c r="L110">
        <v>16576</v>
      </c>
      <c r="M110">
        <v>8</v>
      </c>
      <c r="N110">
        <v>5797.2199769999997</v>
      </c>
      <c r="O110" s="7">
        <f>IFERROR(Table1[[#This Row],[Clicks]]/Table1[[#This Row],[Impressions]],0)</f>
        <v>5.7530778966747211E-3</v>
      </c>
      <c r="P110" s="5">
        <f>IFERROR(Table1[[#This Row],[Total Conversions]]/Table1[[#This Row],[Clicks]],0)</f>
        <v>0.08</v>
      </c>
      <c r="Q110" s="10">
        <f>IFERROR(Table1[[#This Row],[Gross Cost]]/Table1[[#This Row],[Total Conversions]],0)</f>
        <v>724.65249712499997</v>
      </c>
      <c r="R110" s="10">
        <f>IFERROR(Table1[[#This Row],[Gross Cost]]/(Table1[[#This Row],[Impressions]]/1000),0)</f>
        <v>333.51858111839829</v>
      </c>
      <c r="S110" s="5">
        <f>IFERROR(Table1[[#This Row],[Viewable Impressions]]/Table1[[#This Row],[Measurable Impressions]],0)</f>
        <v>0.44709218146718149</v>
      </c>
      <c r="T110" s="10">
        <f>IFERROR(1000*Table1[[#This Row],[Gross Cost]]/Table1[[#This Row],[Viewable Impressions]],0)</f>
        <v>782.24530792065843</v>
      </c>
      <c r="U110" s="10"/>
    </row>
    <row r="111" spans="1:21" x14ac:dyDescent="0.2">
      <c r="A111" t="s">
        <v>1024</v>
      </c>
      <c r="B111" t="s">
        <v>14</v>
      </c>
      <c r="C111" t="s">
        <v>15</v>
      </c>
      <c r="D111" t="s">
        <v>54</v>
      </c>
      <c r="E111" t="str">
        <f>TRIM(RIGHT(Table1[[#This Row],[Location]],LEN(Table1[[#This Row],[Location]])-FIND(",",Table1[[#This Row],[Location]])))</f>
        <v>Florida</v>
      </c>
      <c r="F111" t="s">
        <v>1023</v>
      </c>
      <c r="G111" t="s">
        <v>18</v>
      </c>
      <c r="H111" t="s">
        <v>26</v>
      </c>
      <c r="I111">
        <v>11420</v>
      </c>
      <c r="J111">
        <v>67</v>
      </c>
      <c r="K111">
        <v>4647</v>
      </c>
      <c r="L111">
        <v>9909</v>
      </c>
      <c r="M111">
        <v>9</v>
      </c>
      <c r="N111">
        <v>3804.64417</v>
      </c>
      <c r="O111" s="7">
        <f>IFERROR(Table1[[#This Row],[Clicks]]/Table1[[#This Row],[Impressions]],0)</f>
        <v>5.8669001751313482E-3</v>
      </c>
      <c r="P111" s="5">
        <f>IFERROR(Table1[[#This Row],[Total Conversions]]/Table1[[#This Row],[Clicks]],0)</f>
        <v>0.13432835820895522</v>
      </c>
      <c r="Q111" s="10">
        <f>IFERROR(Table1[[#This Row],[Gross Cost]]/Table1[[#This Row],[Total Conversions]],0)</f>
        <v>422.73824111111111</v>
      </c>
      <c r="R111" s="10">
        <f>IFERROR(Table1[[#This Row],[Gross Cost]]/(Table1[[#This Row],[Impressions]]/1000),0)</f>
        <v>333.15623204903676</v>
      </c>
      <c r="S111" s="5">
        <f>IFERROR(Table1[[#This Row],[Viewable Impressions]]/Table1[[#This Row],[Measurable Impressions]],0)</f>
        <v>0.46896760520738723</v>
      </c>
      <c r="T111" s="10">
        <f>IFERROR(1000*Table1[[#This Row],[Gross Cost]]/Table1[[#This Row],[Viewable Impressions]],0)</f>
        <v>818.73126102862057</v>
      </c>
      <c r="U111" s="10"/>
    </row>
    <row r="112" spans="1:21" x14ac:dyDescent="0.2">
      <c r="A112" t="s">
        <v>882</v>
      </c>
      <c r="B112" t="s">
        <v>21</v>
      </c>
      <c r="C112" t="s">
        <v>41</v>
      </c>
      <c r="D112" t="s">
        <v>34</v>
      </c>
      <c r="E112" t="str">
        <f>TRIM(RIGHT(Table1[[#This Row],[Location]],LEN(Table1[[#This Row],[Location]])-FIND(",",Table1[[#This Row],[Location]])))</f>
        <v>Illinois</v>
      </c>
      <c r="F112" t="s">
        <v>883</v>
      </c>
      <c r="G112" t="s">
        <v>18</v>
      </c>
      <c r="H112" t="s">
        <v>26</v>
      </c>
      <c r="I112">
        <v>17317</v>
      </c>
      <c r="J112">
        <v>68</v>
      </c>
      <c r="K112">
        <v>8055</v>
      </c>
      <c r="L112">
        <v>12724</v>
      </c>
      <c r="M112">
        <v>12</v>
      </c>
      <c r="N112">
        <v>5668.8570790000003</v>
      </c>
      <c r="O112" s="7">
        <f>IFERROR(Table1[[#This Row],[Clicks]]/Table1[[#This Row],[Impressions]],0)</f>
        <v>3.9267771553964312E-3</v>
      </c>
      <c r="P112" s="5">
        <f>IFERROR(Table1[[#This Row],[Total Conversions]]/Table1[[#This Row],[Clicks]],0)</f>
        <v>0.17647058823529413</v>
      </c>
      <c r="Q112" s="10">
        <f>IFERROR(Table1[[#This Row],[Gross Cost]]/Table1[[#This Row],[Total Conversions]],0)</f>
        <v>472.40475658333338</v>
      </c>
      <c r="R112" s="10">
        <f>IFERROR(Table1[[#This Row],[Gross Cost]]/(Table1[[#This Row],[Impressions]]/1000),0)</f>
        <v>327.35791875036091</v>
      </c>
      <c r="S112" s="5">
        <f>IFERROR(Table1[[#This Row],[Viewable Impressions]]/Table1[[#This Row],[Measurable Impressions]],0)</f>
        <v>0.63305564287959759</v>
      </c>
      <c r="T112" s="10">
        <f>IFERROR(1000*Table1[[#This Row],[Gross Cost]]/Table1[[#This Row],[Viewable Impressions]],0)</f>
        <v>703.76872489137179</v>
      </c>
      <c r="U112" s="10"/>
    </row>
    <row r="113" spans="1:21" x14ac:dyDescent="0.2">
      <c r="A113" t="s">
        <v>542</v>
      </c>
      <c r="B113" t="s">
        <v>14</v>
      </c>
      <c r="C113" t="s">
        <v>30</v>
      </c>
      <c r="D113" t="s">
        <v>54</v>
      </c>
      <c r="E113" t="str">
        <f>TRIM(RIGHT(Table1[[#This Row],[Location]],LEN(Table1[[#This Row],[Location]])-FIND(",",Table1[[#This Row],[Location]])))</f>
        <v>Florida</v>
      </c>
      <c r="F113" t="s">
        <v>538</v>
      </c>
      <c r="G113" t="s">
        <v>18</v>
      </c>
      <c r="H113" t="s">
        <v>26</v>
      </c>
      <c r="I113">
        <v>23774</v>
      </c>
      <c r="J113">
        <v>60</v>
      </c>
      <c r="K113">
        <v>10735</v>
      </c>
      <c r="L113">
        <v>21076</v>
      </c>
      <c r="M113">
        <v>24</v>
      </c>
      <c r="N113">
        <v>7657.1080339999999</v>
      </c>
      <c r="O113" s="7">
        <f>IFERROR(Table1[[#This Row],[Clicks]]/Table1[[#This Row],[Impressions]],0)</f>
        <v>2.5237654580634308E-3</v>
      </c>
      <c r="P113" s="5">
        <f>IFERROR(Table1[[#This Row],[Total Conversions]]/Table1[[#This Row],[Clicks]],0)</f>
        <v>0.4</v>
      </c>
      <c r="Q113" s="10">
        <f>IFERROR(Table1[[#This Row],[Gross Cost]]/Table1[[#This Row],[Total Conversions]],0)</f>
        <v>319.04616808333333</v>
      </c>
      <c r="R113" s="10">
        <f>IFERROR(Table1[[#This Row],[Gross Cost]]/(Table1[[#This Row],[Impressions]]/1000),0)</f>
        <v>322.07907941448639</v>
      </c>
      <c r="S113" s="5">
        <f>IFERROR(Table1[[#This Row],[Viewable Impressions]]/Table1[[#This Row],[Measurable Impressions]],0)</f>
        <v>0.50934712469159238</v>
      </c>
      <c r="T113" s="10">
        <f>IFERROR(1000*Table1[[#This Row],[Gross Cost]]/Table1[[#This Row],[Viewable Impressions]],0)</f>
        <v>713.28440000000001</v>
      </c>
      <c r="U113" s="10"/>
    </row>
    <row r="114" spans="1:21" x14ac:dyDescent="0.2">
      <c r="A114" t="s">
        <v>723</v>
      </c>
      <c r="B114" t="s">
        <v>14</v>
      </c>
      <c r="C114" t="s">
        <v>22</v>
      </c>
      <c r="D114" t="s">
        <v>83</v>
      </c>
      <c r="E114" t="str">
        <f>TRIM(RIGHT(Table1[[#This Row],[Location]],LEN(Table1[[#This Row],[Location]])-FIND(",",Table1[[#This Row],[Location]])))</f>
        <v>Florida</v>
      </c>
      <c r="F114" t="s">
        <v>722</v>
      </c>
      <c r="G114" t="s">
        <v>25</v>
      </c>
      <c r="H114" t="s">
        <v>26</v>
      </c>
      <c r="I114">
        <v>21280</v>
      </c>
      <c r="J114">
        <v>70</v>
      </c>
      <c r="K114">
        <v>15309</v>
      </c>
      <c r="L114">
        <v>20244</v>
      </c>
      <c r="M114">
        <v>6</v>
      </c>
      <c r="N114">
        <v>6837.5106020000003</v>
      </c>
      <c r="O114" s="7">
        <f>IFERROR(Table1[[#This Row],[Clicks]]/Table1[[#This Row],[Impressions]],0)</f>
        <v>3.2894736842105261E-3</v>
      </c>
      <c r="P114" s="5">
        <f>IFERROR(Table1[[#This Row],[Total Conversions]]/Table1[[#This Row],[Clicks]],0)</f>
        <v>8.5714285714285715E-2</v>
      </c>
      <c r="Q114" s="10">
        <f>IFERROR(Table1[[#This Row],[Gross Cost]]/Table1[[#This Row],[Total Conversions]],0)</f>
        <v>1139.5851003333335</v>
      </c>
      <c r="R114" s="10">
        <f>IFERROR(Table1[[#This Row],[Gross Cost]]/(Table1[[#This Row],[Impressions]]/1000),0)</f>
        <v>321.31158843984963</v>
      </c>
      <c r="S114" s="5">
        <f>IFERROR(Table1[[#This Row],[Viewable Impressions]]/Table1[[#This Row],[Measurable Impressions]],0)</f>
        <v>0.75622406639004147</v>
      </c>
      <c r="T114" s="10">
        <f>IFERROR(1000*Table1[[#This Row],[Gross Cost]]/Table1[[#This Row],[Viewable Impressions]],0)</f>
        <v>446.6333922529231</v>
      </c>
      <c r="U114" s="10"/>
    </row>
    <row r="115" spans="1:21" x14ac:dyDescent="0.2">
      <c r="A115" t="s">
        <v>365</v>
      </c>
      <c r="B115" t="s">
        <v>21</v>
      </c>
      <c r="C115" t="s">
        <v>41</v>
      </c>
      <c r="D115" t="s">
        <v>38</v>
      </c>
      <c r="E115" t="str">
        <f>TRIM(RIGHT(Table1[[#This Row],[Location]],LEN(Table1[[#This Row],[Location]])-FIND(",",Table1[[#This Row],[Location]])))</f>
        <v>Tennessee</v>
      </c>
      <c r="F115" t="s">
        <v>364</v>
      </c>
      <c r="G115" t="s">
        <v>18</v>
      </c>
      <c r="H115" t="s">
        <v>26</v>
      </c>
      <c r="I115">
        <v>22690</v>
      </c>
      <c r="J115">
        <v>68</v>
      </c>
      <c r="K115">
        <v>10212</v>
      </c>
      <c r="L115">
        <v>19934</v>
      </c>
      <c r="M115">
        <v>19</v>
      </c>
      <c r="N115">
        <v>7210.686506</v>
      </c>
      <c r="O115" s="7">
        <f>IFERROR(Table1[[#This Row],[Clicks]]/Table1[[#This Row],[Impressions]],0)</f>
        <v>2.996914940502424E-3</v>
      </c>
      <c r="P115" s="5">
        <f>IFERROR(Table1[[#This Row],[Total Conversions]]/Table1[[#This Row],[Clicks]],0)</f>
        <v>0.27941176470588236</v>
      </c>
      <c r="Q115" s="10">
        <f>IFERROR(Table1[[#This Row],[Gross Cost]]/Table1[[#This Row],[Total Conversions]],0)</f>
        <v>379.50981610526316</v>
      </c>
      <c r="R115" s="10">
        <f>IFERROR(Table1[[#This Row],[Gross Cost]]/(Table1[[#This Row],[Impressions]]/1000),0)</f>
        <v>317.7913841339797</v>
      </c>
      <c r="S115" s="5">
        <f>IFERROR(Table1[[#This Row],[Viewable Impressions]]/Table1[[#This Row],[Measurable Impressions]],0)</f>
        <v>0.51229055884418584</v>
      </c>
      <c r="T115" s="10">
        <f>IFERROR(1000*Table1[[#This Row],[Gross Cost]]/Table1[[#This Row],[Viewable Impressions]],0)</f>
        <v>706.0993444966706</v>
      </c>
      <c r="U115" s="10"/>
    </row>
    <row r="116" spans="1:21" x14ac:dyDescent="0.2">
      <c r="A116" t="s">
        <v>961</v>
      </c>
      <c r="B116" t="s">
        <v>21</v>
      </c>
      <c r="C116" t="s">
        <v>30</v>
      </c>
      <c r="D116" t="s">
        <v>34</v>
      </c>
      <c r="E116" t="str">
        <f>TRIM(RIGHT(Table1[[#This Row],[Location]],LEN(Table1[[#This Row],[Location]])-FIND(",",Table1[[#This Row],[Location]])))</f>
        <v>Illinois</v>
      </c>
      <c r="F116" t="s">
        <v>960</v>
      </c>
      <c r="G116" t="s">
        <v>18</v>
      </c>
      <c r="H116" t="s">
        <v>26</v>
      </c>
      <c r="I116">
        <v>12209</v>
      </c>
      <c r="J116">
        <v>147</v>
      </c>
      <c r="K116">
        <v>3976</v>
      </c>
      <c r="L116">
        <v>5219</v>
      </c>
      <c r="M116">
        <v>4</v>
      </c>
      <c r="N116">
        <v>3818.9551820000001</v>
      </c>
      <c r="O116" s="7">
        <f>IFERROR(Table1[[#This Row],[Clicks]]/Table1[[#This Row],[Impressions]],0)</f>
        <v>1.2040298140715866E-2</v>
      </c>
      <c r="P116" s="5">
        <f>IFERROR(Table1[[#This Row],[Total Conversions]]/Table1[[#This Row],[Clicks]],0)</f>
        <v>2.7210884353741496E-2</v>
      </c>
      <c r="Q116" s="10">
        <f>IFERROR(Table1[[#This Row],[Gross Cost]]/Table1[[#This Row],[Total Conversions]],0)</f>
        <v>954.73879550000004</v>
      </c>
      <c r="R116" s="10">
        <f>IFERROR(Table1[[#This Row],[Gross Cost]]/(Table1[[#This Row],[Impressions]]/1000),0)</f>
        <v>312.79836038987634</v>
      </c>
      <c r="S116" s="5">
        <f>IFERROR(Table1[[#This Row],[Viewable Impressions]]/Table1[[#This Row],[Measurable Impressions]],0)</f>
        <v>0.76183176853803414</v>
      </c>
      <c r="T116" s="10">
        <f>IFERROR(1000*Table1[[#This Row],[Gross Cost]]/Table1[[#This Row],[Viewable Impressions]],0)</f>
        <v>960.50180633802813</v>
      </c>
      <c r="U116" s="10"/>
    </row>
    <row r="117" spans="1:21" x14ac:dyDescent="0.2">
      <c r="A117" t="s">
        <v>251</v>
      </c>
      <c r="B117" t="s">
        <v>21</v>
      </c>
      <c r="C117" t="s">
        <v>30</v>
      </c>
      <c r="D117" t="s">
        <v>28</v>
      </c>
      <c r="E117" t="str">
        <f>TRIM(RIGHT(Table1[[#This Row],[Location]],LEN(Table1[[#This Row],[Location]])-FIND(",",Table1[[#This Row],[Location]])))</f>
        <v>California</v>
      </c>
      <c r="F117" t="s">
        <v>252</v>
      </c>
      <c r="G117" t="s">
        <v>18</v>
      </c>
      <c r="H117" t="s">
        <v>26</v>
      </c>
      <c r="I117">
        <v>10093</v>
      </c>
      <c r="J117">
        <v>65</v>
      </c>
      <c r="K117">
        <v>3901</v>
      </c>
      <c r="L117">
        <v>9645</v>
      </c>
      <c r="M117">
        <v>2</v>
      </c>
      <c r="N117">
        <v>3105.2830039999999</v>
      </c>
      <c r="O117" s="7">
        <f>IFERROR(Table1[[#This Row],[Clicks]]/Table1[[#This Row],[Impressions]],0)</f>
        <v>6.4401070048548496E-3</v>
      </c>
      <c r="P117" s="5">
        <f>IFERROR(Table1[[#This Row],[Total Conversions]]/Table1[[#This Row],[Clicks]],0)</f>
        <v>3.0769230769230771E-2</v>
      </c>
      <c r="Q117" s="10">
        <f>IFERROR(Table1[[#This Row],[Gross Cost]]/Table1[[#This Row],[Total Conversions]],0)</f>
        <v>1552.6415019999999</v>
      </c>
      <c r="R117" s="10">
        <f>IFERROR(Table1[[#This Row],[Gross Cost]]/(Table1[[#This Row],[Impressions]]/1000),0)</f>
        <v>307.66699732487859</v>
      </c>
      <c r="S117" s="5">
        <f>IFERROR(Table1[[#This Row],[Viewable Impressions]]/Table1[[#This Row],[Measurable Impressions]],0)</f>
        <v>0.40445826853291861</v>
      </c>
      <c r="T117" s="10">
        <f>IFERROR(1000*Table1[[#This Row],[Gross Cost]]/Table1[[#This Row],[Viewable Impressions]],0)</f>
        <v>796.02230299923087</v>
      </c>
      <c r="U117" s="10"/>
    </row>
    <row r="118" spans="1:21" x14ac:dyDescent="0.2">
      <c r="A118" t="s">
        <v>832</v>
      </c>
      <c r="B118" t="s">
        <v>14</v>
      </c>
      <c r="C118" t="s">
        <v>15</v>
      </c>
      <c r="D118" t="s">
        <v>34</v>
      </c>
      <c r="E118" t="str">
        <f>TRIM(RIGHT(Table1[[#This Row],[Location]],LEN(Table1[[#This Row],[Location]])-FIND(",",Table1[[#This Row],[Location]])))</f>
        <v>Illinois</v>
      </c>
      <c r="F118" t="s">
        <v>833</v>
      </c>
      <c r="G118" t="s">
        <v>116</v>
      </c>
      <c r="H118" t="s">
        <v>51</v>
      </c>
      <c r="I118">
        <v>17075</v>
      </c>
      <c r="J118">
        <v>44</v>
      </c>
      <c r="K118">
        <v>5508</v>
      </c>
      <c r="L118">
        <v>11539</v>
      </c>
      <c r="M118">
        <v>10</v>
      </c>
      <c r="N118">
        <v>5086.0899600000002</v>
      </c>
      <c r="O118" s="7">
        <f>IFERROR(Table1[[#This Row],[Clicks]]/Table1[[#This Row],[Impressions]],0)</f>
        <v>2.5768667642752561E-3</v>
      </c>
      <c r="P118" s="5">
        <f>IFERROR(Table1[[#This Row],[Total Conversions]]/Table1[[#This Row],[Clicks]],0)</f>
        <v>0.22727272727272727</v>
      </c>
      <c r="Q118" s="10">
        <f>IFERROR(Table1[[#This Row],[Gross Cost]]/Table1[[#This Row],[Total Conversions]],0)</f>
        <v>508.60899600000005</v>
      </c>
      <c r="R118" s="10">
        <f>IFERROR(Table1[[#This Row],[Gross Cost]]/(Table1[[#This Row],[Impressions]]/1000),0)</f>
        <v>297.8676404099561</v>
      </c>
      <c r="S118" s="5">
        <f>IFERROR(Table1[[#This Row],[Viewable Impressions]]/Table1[[#This Row],[Measurable Impressions]],0)</f>
        <v>0.47733772423953547</v>
      </c>
      <c r="T118" s="10">
        <f>IFERROR(1000*Table1[[#This Row],[Gross Cost]]/Table1[[#This Row],[Viewable Impressions]],0)</f>
        <v>923.40050108932462</v>
      </c>
      <c r="U118" s="10"/>
    </row>
    <row r="119" spans="1:21" x14ac:dyDescent="0.2">
      <c r="A119" t="s">
        <v>424</v>
      </c>
      <c r="B119" t="s">
        <v>14</v>
      </c>
      <c r="C119" t="s">
        <v>30</v>
      </c>
      <c r="D119" t="s">
        <v>77</v>
      </c>
      <c r="E119" t="str">
        <f>TRIM(RIGHT(Table1[[#This Row],[Location]],LEN(Table1[[#This Row],[Location]])-FIND(",",Table1[[#This Row],[Location]])))</f>
        <v>New York</v>
      </c>
      <c r="F119" t="s">
        <v>425</v>
      </c>
      <c r="G119" t="s">
        <v>18</v>
      </c>
      <c r="H119" t="s">
        <v>26</v>
      </c>
      <c r="I119">
        <v>17770</v>
      </c>
      <c r="J119">
        <v>70</v>
      </c>
      <c r="K119">
        <v>12771</v>
      </c>
      <c r="L119">
        <v>16749</v>
      </c>
      <c r="M119">
        <v>9</v>
      </c>
      <c r="N119">
        <v>5195.2346770000004</v>
      </c>
      <c r="O119" s="7">
        <f>IFERROR(Table1[[#This Row],[Clicks]]/Table1[[#This Row],[Impressions]],0)</f>
        <v>3.9392234102419805E-3</v>
      </c>
      <c r="P119" s="5">
        <f>IFERROR(Table1[[#This Row],[Total Conversions]]/Table1[[#This Row],[Clicks]],0)</f>
        <v>0.12857142857142856</v>
      </c>
      <c r="Q119" s="10">
        <f>IFERROR(Table1[[#This Row],[Gross Cost]]/Table1[[#This Row],[Total Conversions]],0)</f>
        <v>577.24829744444446</v>
      </c>
      <c r="R119" s="10">
        <f>IFERROR(Table1[[#This Row],[Gross Cost]]/(Table1[[#This Row],[Impressions]]/1000),0)</f>
        <v>292.35985801913341</v>
      </c>
      <c r="S119" s="5">
        <f>IFERROR(Table1[[#This Row],[Viewable Impressions]]/Table1[[#This Row],[Measurable Impressions]],0)</f>
        <v>0.76249328318108545</v>
      </c>
      <c r="T119" s="10">
        <f>IFERROR(1000*Table1[[#This Row],[Gross Cost]]/Table1[[#This Row],[Viewable Impressions]],0)</f>
        <v>406.79936394957326</v>
      </c>
      <c r="U119" s="10"/>
    </row>
    <row r="120" spans="1:21" x14ac:dyDescent="0.2">
      <c r="A120" t="s">
        <v>231</v>
      </c>
      <c r="B120" t="s">
        <v>14</v>
      </c>
      <c r="C120" t="s">
        <v>22</v>
      </c>
      <c r="D120" t="s">
        <v>28</v>
      </c>
      <c r="E120" t="str">
        <f>TRIM(RIGHT(Table1[[#This Row],[Location]],LEN(Table1[[#This Row],[Location]])-FIND(",",Table1[[#This Row],[Location]])))</f>
        <v>California</v>
      </c>
      <c r="F120" t="s">
        <v>232</v>
      </c>
      <c r="G120" t="s">
        <v>18</v>
      </c>
      <c r="H120" t="s">
        <v>26</v>
      </c>
      <c r="I120">
        <v>7472</v>
      </c>
      <c r="J120">
        <v>10</v>
      </c>
      <c r="K120">
        <v>1191</v>
      </c>
      <c r="L120">
        <v>5883</v>
      </c>
      <c r="M120">
        <v>1</v>
      </c>
      <c r="N120">
        <v>2183.952037</v>
      </c>
      <c r="O120" s="7">
        <f>IFERROR(Table1[[#This Row],[Clicks]]/Table1[[#This Row],[Impressions]],0)</f>
        <v>1.3383297644539614E-3</v>
      </c>
      <c r="P120" s="5">
        <f>IFERROR(Table1[[#This Row],[Total Conversions]]/Table1[[#This Row],[Clicks]],0)</f>
        <v>0.1</v>
      </c>
      <c r="Q120" s="10">
        <f>IFERROR(Table1[[#This Row],[Gross Cost]]/Table1[[#This Row],[Total Conversions]],0)</f>
        <v>2183.952037</v>
      </c>
      <c r="R120" s="10">
        <f>IFERROR(Table1[[#This Row],[Gross Cost]]/(Table1[[#This Row],[Impressions]]/1000),0)</f>
        <v>292.28480152569591</v>
      </c>
      <c r="S120" s="5">
        <f>IFERROR(Table1[[#This Row],[Viewable Impressions]]/Table1[[#This Row],[Measurable Impressions]],0)</f>
        <v>0.20244773074961755</v>
      </c>
      <c r="T120" s="10">
        <f>IFERROR(1000*Table1[[#This Row],[Gross Cost]]/Table1[[#This Row],[Viewable Impressions]],0)</f>
        <v>1833.7128774139378</v>
      </c>
      <c r="U120" s="10"/>
    </row>
    <row r="121" spans="1:21" x14ac:dyDescent="0.2">
      <c r="A121" t="s">
        <v>845</v>
      </c>
      <c r="B121" t="s">
        <v>21</v>
      </c>
      <c r="C121" t="s">
        <v>30</v>
      </c>
      <c r="D121" t="s">
        <v>42</v>
      </c>
      <c r="E121" t="str">
        <f>TRIM(RIGHT(Table1[[#This Row],[Location]],LEN(Table1[[#This Row],[Location]])-FIND(",",Table1[[#This Row],[Location]])))</f>
        <v>Illinois</v>
      </c>
      <c r="F121" t="s">
        <v>846</v>
      </c>
      <c r="G121" t="s">
        <v>45</v>
      </c>
      <c r="H121" t="s">
        <v>26</v>
      </c>
      <c r="I121">
        <v>21962</v>
      </c>
      <c r="J121">
        <v>120</v>
      </c>
      <c r="K121">
        <v>10702</v>
      </c>
      <c r="L121">
        <v>21034</v>
      </c>
      <c r="M121">
        <v>11</v>
      </c>
      <c r="N121">
        <v>6404.0031280000003</v>
      </c>
      <c r="O121" s="7">
        <f>IFERROR(Table1[[#This Row],[Clicks]]/Table1[[#This Row],[Impressions]],0)</f>
        <v>5.4639832437847194E-3</v>
      </c>
      <c r="P121" s="5">
        <f>IFERROR(Table1[[#This Row],[Total Conversions]]/Table1[[#This Row],[Clicks]],0)</f>
        <v>9.166666666666666E-2</v>
      </c>
      <c r="Q121" s="10">
        <f>IFERROR(Table1[[#This Row],[Gross Cost]]/Table1[[#This Row],[Total Conversions]],0)</f>
        <v>582.18210254545454</v>
      </c>
      <c r="R121" s="10">
        <f>IFERROR(Table1[[#This Row],[Gross Cost]]/(Table1[[#This Row],[Impressions]]/1000),0)</f>
        <v>291.59471487114109</v>
      </c>
      <c r="S121" s="5">
        <f>IFERROR(Table1[[#This Row],[Viewable Impressions]]/Table1[[#This Row],[Measurable Impressions]],0)</f>
        <v>0.50879528382618622</v>
      </c>
      <c r="T121" s="10">
        <f>IFERROR(1000*Table1[[#This Row],[Gross Cost]]/Table1[[#This Row],[Viewable Impressions]],0)</f>
        <v>598.39311605307421</v>
      </c>
      <c r="U121" s="10"/>
    </row>
    <row r="122" spans="1:21" x14ac:dyDescent="0.2">
      <c r="A122" t="s">
        <v>291</v>
      </c>
      <c r="B122" t="s">
        <v>21</v>
      </c>
      <c r="C122" t="s">
        <v>15</v>
      </c>
      <c r="D122" t="s">
        <v>272</v>
      </c>
      <c r="E122" t="str">
        <f>TRIM(RIGHT(Table1[[#This Row],[Location]],LEN(Table1[[#This Row],[Location]])-FIND(",",Table1[[#This Row],[Location]])))</f>
        <v>Indiana</v>
      </c>
      <c r="F122" t="s">
        <v>290</v>
      </c>
      <c r="G122" t="s">
        <v>18</v>
      </c>
      <c r="H122" t="s">
        <v>26</v>
      </c>
      <c r="I122">
        <v>18412</v>
      </c>
      <c r="J122">
        <v>140</v>
      </c>
      <c r="K122">
        <v>5668</v>
      </c>
      <c r="L122">
        <v>16711</v>
      </c>
      <c r="M122">
        <v>12</v>
      </c>
      <c r="N122">
        <v>5244.3417399999998</v>
      </c>
      <c r="O122" s="7">
        <f>IFERROR(Table1[[#This Row],[Clicks]]/Table1[[#This Row],[Impressions]],0)</f>
        <v>7.603736693460786E-3</v>
      </c>
      <c r="P122" s="5">
        <f>IFERROR(Table1[[#This Row],[Total Conversions]]/Table1[[#This Row],[Clicks]],0)</f>
        <v>8.5714285714285715E-2</v>
      </c>
      <c r="Q122" s="10">
        <f>IFERROR(Table1[[#This Row],[Gross Cost]]/Table1[[#This Row],[Total Conversions]],0)</f>
        <v>437.02847833333334</v>
      </c>
      <c r="R122" s="10">
        <f>IFERROR(Table1[[#This Row],[Gross Cost]]/(Table1[[#This Row],[Impressions]]/1000),0)</f>
        <v>284.83281229632848</v>
      </c>
      <c r="S122" s="5">
        <f>IFERROR(Table1[[#This Row],[Viewable Impressions]]/Table1[[#This Row],[Measurable Impressions]],0)</f>
        <v>0.33917778708635032</v>
      </c>
      <c r="T122" s="10">
        <f>IFERROR(1000*Table1[[#This Row],[Gross Cost]]/Table1[[#This Row],[Viewable Impressions]],0)</f>
        <v>925.25436485532816</v>
      </c>
      <c r="U122" s="10"/>
    </row>
    <row r="123" spans="1:21" x14ac:dyDescent="0.2">
      <c r="A123" t="s">
        <v>967</v>
      </c>
      <c r="B123" t="s">
        <v>60</v>
      </c>
      <c r="C123" t="s">
        <v>22</v>
      </c>
      <c r="D123" t="s">
        <v>38</v>
      </c>
      <c r="E123" t="str">
        <f>TRIM(RIGHT(Table1[[#This Row],[Location]],LEN(Table1[[#This Row],[Location]])-FIND(",",Table1[[#This Row],[Location]])))</f>
        <v>Tennessee</v>
      </c>
      <c r="F123" t="s">
        <v>968</v>
      </c>
      <c r="G123" t="s">
        <v>35</v>
      </c>
      <c r="H123" t="s">
        <v>26</v>
      </c>
      <c r="I123">
        <v>23488</v>
      </c>
      <c r="J123">
        <v>75</v>
      </c>
      <c r="K123">
        <v>4620</v>
      </c>
      <c r="L123">
        <v>22254</v>
      </c>
      <c r="M123">
        <v>9</v>
      </c>
      <c r="N123">
        <v>6667.727715</v>
      </c>
      <c r="O123" s="7">
        <f>IFERROR(Table1[[#This Row],[Clicks]]/Table1[[#This Row],[Impressions]],0)</f>
        <v>3.1931198910081743E-3</v>
      </c>
      <c r="P123" s="5">
        <f>IFERROR(Table1[[#This Row],[Total Conversions]]/Table1[[#This Row],[Clicks]],0)</f>
        <v>0.12</v>
      </c>
      <c r="Q123" s="10">
        <f>IFERROR(Table1[[#This Row],[Gross Cost]]/Table1[[#This Row],[Total Conversions]],0)</f>
        <v>740.85863500000005</v>
      </c>
      <c r="R123" s="10">
        <f>IFERROR(Table1[[#This Row],[Gross Cost]]/(Table1[[#This Row],[Impressions]]/1000),0)</f>
        <v>283.87805326123981</v>
      </c>
      <c r="S123" s="5">
        <f>IFERROR(Table1[[#This Row],[Viewable Impressions]]/Table1[[#This Row],[Measurable Impressions]],0)</f>
        <v>0.20760312752763549</v>
      </c>
      <c r="T123" s="10">
        <f>IFERROR(1000*Table1[[#This Row],[Gross Cost]]/Table1[[#This Row],[Viewable Impressions]],0)</f>
        <v>1443.2311071428571</v>
      </c>
      <c r="U123" s="10"/>
    </row>
    <row r="124" spans="1:21" x14ac:dyDescent="0.2">
      <c r="A124" t="s">
        <v>819</v>
      </c>
      <c r="B124" t="s">
        <v>60</v>
      </c>
      <c r="C124" t="s">
        <v>22</v>
      </c>
      <c r="D124" t="s">
        <v>83</v>
      </c>
      <c r="E124" t="str">
        <f>TRIM(RIGHT(Table1[[#This Row],[Location]],LEN(Table1[[#This Row],[Location]])-FIND(",",Table1[[#This Row],[Location]])))</f>
        <v>Florida</v>
      </c>
      <c r="F124" t="s">
        <v>818</v>
      </c>
      <c r="G124" t="s">
        <v>35</v>
      </c>
      <c r="H124" t="s">
        <v>26</v>
      </c>
      <c r="I124">
        <v>19408</v>
      </c>
      <c r="J124">
        <v>58</v>
      </c>
      <c r="K124">
        <v>6596</v>
      </c>
      <c r="L124">
        <v>13880</v>
      </c>
      <c r="M124">
        <v>2</v>
      </c>
      <c r="N124">
        <v>5492.8216480000001</v>
      </c>
      <c r="O124" s="7">
        <f>IFERROR(Table1[[#This Row],[Clicks]]/Table1[[#This Row],[Impressions]],0)</f>
        <v>2.9884583676834295E-3</v>
      </c>
      <c r="P124" s="5">
        <f>IFERROR(Table1[[#This Row],[Total Conversions]]/Table1[[#This Row],[Clicks]],0)</f>
        <v>3.4482758620689655E-2</v>
      </c>
      <c r="Q124" s="10">
        <f>IFERROR(Table1[[#This Row],[Gross Cost]]/Table1[[#This Row],[Total Conversions]],0)</f>
        <v>2746.410824</v>
      </c>
      <c r="R124" s="10">
        <f>IFERROR(Table1[[#This Row],[Gross Cost]]/(Table1[[#This Row],[Impressions]]/1000),0)</f>
        <v>283.01842786479801</v>
      </c>
      <c r="S124" s="5">
        <f>IFERROR(Table1[[#This Row],[Viewable Impressions]]/Table1[[#This Row],[Measurable Impressions]],0)</f>
        <v>0.47521613832853027</v>
      </c>
      <c r="T124" s="10">
        <f>IFERROR(1000*Table1[[#This Row],[Gross Cost]]/Table1[[#This Row],[Viewable Impressions]],0)</f>
        <v>832.75040145542755</v>
      </c>
      <c r="U124" s="10"/>
    </row>
    <row r="125" spans="1:21" x14ac:dyDescent="0.2">
      <c r="A125" t="s">
        <v>821</v>
      </c>
      <c r="B125" t="s">
        <v>14</v>
      </c>
      <c r="C125" t="s">
        <v>22</v>
      </c>
      <c r="D125" t="s">
        <v>34</v>
      </c>
      <c r="E125" t="str">
        <f>TRIM(RIGHT(Table1[[#This Row],[Location]],LEN(Table1[[#This Row],[Location]])-FIND(",",Table1[[#This Row],[Location]])))</f>
        <v>Illinois</v>
      </c>
      <c r="F125" t="s">
        <v>818</v>
      </c>
      <c r="G125" t="s">
        <v>47</v>
      </c>
      <c r="H125" t="s">
        <v>51</v>
      </c>
      <c r="I125">
        <v>18537</v>
      </c>
      <c r="J125">
        <v>95</v>
      </c>
      <c r="K125">
        <v>6473</v>
      </c>
      <c r="L125">
        <v>17081</v>
      </c>
      <c r="M125">
        <v>4</v>
      </c>
      <c r="N125">
        <v>5206.2389679999997</v>
      </c>
      <c r="O125" s="7">
        <f>IFERROR(Table1[[#This Row],[Clicks]]/Table1[[#This Row],[Impressions]],0)</f>
        <v>5.1248853644063229E-3</v>
      </c>
      <c r="P125" s="5">
        <f>IFERROR(Table1[[#This Row],[Total Conversions]]/Table1[[#This Row],[Clicks]],0)</f>
        <v>4.2105263157894736E-2</v>
      </c>
      <c r="Q125" s="10">
        <f>IFERROR(Table1[[#This Row],[Gross Cost]]/Table1[[#This Row],[Total Conversions]],0)</f>
        <v>1301.5597419999999</v>
      </c>
      <c r="R125" s="10">
        <f>IFERROR(Table1[[#This Row],[Gross Cost]]/(Table1[[#This Row],[Impressions]]/1000),0)</f>
        <v>280.85660937584288</v>
      </c>
      <c r="S125" s="5">
        <f>IFERROR(Table1[[#This Row],[Viewable Impressions]]/Table1[[#This Row],[Measurable Impressions]],0)</f>
        <v>0.37895907733739242</v>
      </c>
      <c r="T125" s="10">
        <f>IFERROR(1000*Table1[[#This Row],[Gross Cost]]/Table1[[#This Row],[Viewable Impressions]],0)</f>
        <v>804.30078294453881</v>
      </c>
      <c r="U125" s="10"/>
    </row>
    <row r="126" spans="1:21" x14ac:dyDescent="0.2">
      <c r="A126" t="s">
        <v>1022</v>
      </c>
      <c r="B126" t="s">
        <v>21</v>
      </c>
      <c r="C126" t="s">
        <v>15</v>
      </c>
      <c r="D126" t="s">
        <v>34</v>
      </c>
      <c r="E126" t="str">
        <f>TRIM(RIGHT(Table1[[#This Row],[Location]],LEN(Table1[[#This Row],[Location]])-FIND(",",Table1[[#This Row],[Location]])))</f>
        <v>Illinois</v>
      </c>
      <c r="F126" t="s">
        <v>1023</v>
      </c>
      <c r="G126" t="s">
        <v>18</v>
      </c>
      <c r="H126" t="s">
        <v>26</v>
      </c>
      <c r="I126">
        <v>18516</v>
      </c>
      <c r="J126">
        <v>68</v>
      </c>
      <c r="K126">
        <v>8191</v>
      </c>
      <c r="L126">
        <v>13641</v>
      </c>
      <c r="M126">
        <v>13</v>
      </c>
      <c r="N126">
        <v>5087.5617149999998</v>
      </c>
      <c r="O126" s="7">
        <f>IFERROR(Table1[[#This Row],[Clicks]]/Table1[[#This Row],[Impressions]],0)</f>
        <v>3.67249945992655E-3</v>
      </c>
      <c r="P126" s="5">
        <f>IFERROR(Table1[[#This Row],[Total Conversions]]/Table1[[#This Row],[Clicks]],0)</f>
        <v>0.19117647058823528</v>
      </c>
      <c r="Q126" s="10">
        <f>IFERROR(Table1[[#This Row],[Gross Cost]]/Table1[[#This Row],[Total Conversions]],0)</f>
        <v>391.35090115384617</v>
      </c>
      <c r="R126" s="10">
        <f>IFERROR(Table1[[#This Row],[Gross Cost]]/(Table1[[#This Row],[Impressions]]/1000),0)</f>
        <v>274.76570074530139</v>
      </c>
      <c r="S126" s="5">
        <f>IFERROR(Table1[[#This Row],[Viewable Impressions]]/Table1[[#This Row],[Measurable Impressions]],0)</f>
        <v>0.60046917381423648</v>
      </c>
      <c r="T126" s="10">
        <f>IFERROR(1000*Table1[[#This Row],[Gross Cost]]/Table1[[#This Row],[Viewable Impressions]],0)</f>
        <v>621.11606824563546</v>
      </c>
      <c r="U126" s="10"/>
    </row>
    <row r="127" spans="1:21" x14ac:dyDescent="0.2">
      <c r="A127" t="s">
        <v>62</v>
      </c>
      <c r="B127" t="s">
        <v>14</v>
      </c>
      <c r="C127" t="s">
        <v>15</v>
      </c>
      <c r="D127" t="s">
        <v>34</v>
      </c>
      <c r="E127" t="str">
        <f>TRIM(RIGHT(Table1[[#This Row],[Location]],LEN(Table1[[#This Row],[Location]])-FIND(",",Table1[[#This Row],[Location]])))</f>
        <v>Illinois</v>
      </c>
      <c r="F127" t="s">
        <v>63</v>
      </c>
      <c r="G127" t="s">
        <v>32</v>
      </c>
      <c r="H127" t="s">
        <v>51</v>
      </c>
      <c r="I127">
        <v>17833</v>
      </c>
      <c r="J127">
        <v>61</v>
      </c>
      <c r="K127">
        <v>8670</v>
      </c>
      <c r="L127">
        <v>16871</v>
      </c>
      <c r="M127">
        <v>10</v>
      </c>
      <c r="N127">
        <v>4899.1559550000002</v>
      </c>
      <c r="O127" s="7">
        <f>IFERROR(Table1[[#This Row],[Clicks]]/Table1[[#This Row],[Impressions]],0)</f>
        <v>3.4206246845735434E-3</v>
      </c>
      <c r="P127" s="5">
        <f>IFERROR(Table1[[#This Row],[Total Conversions]]/Table1[[#This Row],[Clicks]],0)</f>
        <v>0.16393442622950818</v>
      </c>
      <c r="Q127" s="10">
        <f>IFERROR(Table1[[#This Row],[Gross Cost]]/Table1[[#This Row],[Total Conversions]],0)</f>
        <v>489.91559549999999</v>
      </c>
      <c r="R127" s="10">
        <f>IFERROR(Table1[[#This Row],[Gross Cost]]/(Table1[[#This Row],[Impressions]]/1000),0)</f>
        <v>274.72416054505698</v>
      </c>
      <c r="S127" s="5">
        <f>IFERROR(Table1[[#This Row],[Viewable Impressions]]/Table1[[#This Row],[Measurable Impressions]],0)</f>
        <v>0.51389959101416627</v>
      </c>
      <c r="T127" s="10">
        <f>IFERROR(1000*Table1[[#This Row],[Gross Cost]]/Table1[[#This Row],[Viewable Impressions]],0)</f>
        <v>565.06989100346027</v>
      </c>
      <c r="U127" s="10"/>
    </row>
    <row r="128" spans="1:21" x14ac:dyDescent="0.2">
      <c r="A128" t="s">
        <v>716</v>
      </c>
      <c r="B128" t="s">
        <v>14</v>
      </c>
      <c r="C128" t="s">
        <v>41</v>
      </c>
      <c r="D128" t="s">
        <v>34</v>
      </c>
      <c r="E128" t="str">
        <f>TRIM(RIGHT(Table1[[#This Row],[Location]],LEN(Table1[[#This Row],[Location]])-FIND(",",Table1[[#This Row],[Location]])))</f>
        <v>Illinois</v>
      </c>
      <c r="F128" t="s">
        <v>717</v>
      </c>
      <c r="G128" t="s">
        <v>18</v>
      </c>
      <c r="H128" t="s">
        <v>51</v>
      </c>
      <c r="I128">
        <v>24962</v>
      </c>
      <c r="J128">
        <v>75</v>
      </c>
      <c r="K128">
        <v>18450</v>
      </c>
      <c r="L128">
        <v>24128</v>
      </c>
      <c r="M128">
        <v>16</v>
      </c>
      <c r="N128">
        <v>6809.0560509999996</v>
      </c>
      <c r="O128" s="7">
        <f>IFERROR(Table1[[#This Row],[Clicks]]/Table1[[#This Row],[Impressions]],0)</f>
        <v>3.0045669417514622E-3</v>
      </c>
      <c r="P128" s="5">
        <f>IFERROR(Table1[[#This Row],[Total Conversions]]/Table1[[#This Row],[Clicks]],0)</f>
        <v>0.21333333333333335</v>
      </c>
      <c r="Q128" s="10">
        <f>IFERROR(Table1[[#This Row],[Gross Cost]]/Table1[[#This Row],[Total Conversions]],0)</f>
        <v>425.56600318749997</v>
      </c>
      <c r="R128" s="10">
        <f>IFERROR(Table1[[#This Row],[Gross Cost]]/(Table1[[#This Row],[Impressions]]/1000),0)</f>
        <v>272.77686287156479</v>
      </c>
      <c r="S128" s="5">
        <f>IFERROR(Table1[[#This Row],[Viewable Impressions]]/Table1[[#This Row],[Measurable Impressions]],0)</f>
        <v>0.76467175066312998</v>
      </c>
      <c r="T128" s="10">
        <f>IFERROR(1000*Table1[[#This Row],[Gross Cost]]/Table1[[#This Row],[Viewable Impressions]],0)</f>
        <v>369.05452850948507</v>
      </c>
      <c r="U128" s="10"/>
    </row>
    <row r="129" spans="1:21" x14ac:dyDescent="0.2">
      <c r="A129" t="s">
        <v>596</v>
      </c>
      <c r="B129" t="s">
        <v>14</v>
      </c>
      <c r="C129" t="s">
        <v>22</v>
      </c>
      <c r="D129" t="s">
        <v>77</v>
      </c>
      <c r="E129" t="str">
        <f>TRIM(RIGHT(Table1[[#This Row],[Location]],LEN(Table1[[#This Row],[Location]])-FIND(",",Table1[[#This Row],[Location]])))</f>
        <v>New York</v>
      </c>
      <c r="F129" t="s">
        <v>597</v>
      </c>
      <c r="G129" t="s">
        <v>25</v>
      </c>
      <c r="H129" t="s">
        <v>51</v>
      </c>
      <c r="I129">
        <v>25206</v>
      </c>
      <c r="J129">
        <v>75</v>
      </c>
      <c r="K129">
        <v>3588</v>
      </c>
      <c r="L129">
        <v>23556</v>
      </c>
      <c r="M129">
        <v>19</v>
      </c>
      <c r="N129">
        <v>6846.3564340000003</v>
      </c>
      <c r="O129" s="7">
        <f>IFERROR(Table1[[#This Row],[Clicks]]/Table1[[#This Row],[Impressions]],0)</f>
        <v>2.9754820280885504E-3</v>
      </c>
      <c r="P129" s="5">
        <f>IFERROR(Table1[[#This Row],[Total Conversions]]/Table1[[#This Row],[Clicks]],0)</f>
        <v>0.25333333333333335</v>
      </c>
      <c r="Q129" s="10">
        <f>IFERROR(Table1[[#This Row],[Gross Cost]]/Table1[[#This Row],[Total Conversions]],0)</f>
        <v>360.33454915789474</v>
      </c>
      <c r="R129" s="10">
        <f>IFERROR(Table1[[#This Row],[Gross Cost]]/(Table1[[#This Row],[Impressions]]/1000),0)</f>
        <v>271.61614036340558</v>
      </c>
      <c r="S129" s="5">
        <f>IFERROR(Table1[[#This Row],[Viewable Impressions]]/Table1[[#This Row],[Measurable Impressions]],0)</f>
        <v>0.15231788079470199</v>
      </c>
      <c r="T129" s="10">
        <f>IFERROR(1000*Table1[[#This Row],[Gross Cost]]/Table1[[#This Row],[Viewable Impressions]],0)</f>
        <v>1908.1260964325531</v>
      </c>
      <c r="U129" s="10"/>
    </row>
    <row r="130" spans="1:21" x14ac:dyDescent="0.2">
      <c r="A130" t="s">
        <v>826</v>
      </c>
      <c r="B130" t="s">
        <v>60</v>
      </c>
      <c r="C130" t="s">
        <v>15</v>
      </c>
      <c r="D130" t="s">
        <v>28</v>
      </c>
      <c r="E130" t="str">
        <f>TRIM(RIGHT(Table1[[#This Row],[Location]],LEN(Table1[[#This Row],[Location]])-FIND(",",Table1[[#This Row],[Location]])))</f>
        <v>California</v>
      </c>
      <c r="F130" t="s">
        <v>827</v>
      </c>
      <c r="G130" t="s">
        <v>25</v>
      </c>
      <c r="H130" t="s">
        <v>26</v>
      </c>
      <c r="I130">
        <v>15475</v>
      </c>
      <c r="J130">
        <v>110</v>
      </c>
      <c r="K130">
        <v>6019</v>
      </c>
      <c r="L130">
        <v>10952</v>
      </c>
      <c r="M130">
        <v>9</v>
      </c>
      <c r="N130">
        <v>4156.7133830000002</v>
      </c>
      <c r="O130" s="7">
        <f>IFERROR(Table1[[#This Row],[Clicks]]/Table1[[#This Row],[Impressions]],0)</f>
        <v>7.1082390953150238E-3</v>
      </c>
      <c r="P130" s="5">
        <f>IFERROR(Table1[[#This Row],[Total Conversions]]/Table1[[#This Row],[Clicks]],0)</f>
        <v>8.1818181818181818E-2</v>
      </c>
      <c r="Q130" s="10">
        <f>IFERROR(Table1[[#This Row],[Gross Cost]]/Table1[[#This Row],[Total Conversions]],0)</f>
        <v>461.85704255555561</v>
      </c>
      <c r="R130" s="10">
        <f>IFERROR(Table1[[#This Row],[Gross Cost]]/(Table1[[#This Row],[Impressions]]/1000),0)</f>
        <v>268.60829615508885</v>
      </c>
      <c r="S130" s="5">
        <f>IFERROR(Table1[[#This Row],[Viewable Impressions]]/Table1[[#This Row],[Measurable Impressions]],0)</f>
        <v>0.54957998539079622</v>
      </c>
      <c r="T130" s="10">
        <f>IFERROR(1000*Table1[[#This Row],[Gross Cost]]/Table1[[#This Row],[Viewable Impressions]],0)</f>
        <v>690.59866805117133</v>
      </c>
      <c r="U130" s="10"/>
    </row>
    <row r="131" spans="1:21" x14ac:dyDescent="0.2">
      <c r="A131" t="s">
        <v>33</v>
      </c>
      <c r="B131" t="s">
        <v>14</v>
      </c>
      <c r="C131" t="s">
        <v>30</v>
      </c>
      <c r="D131" t="s">
        <v>34</v>
      </c>
      <c r="E131" t="str">
        <f>TRIM(RIGHT(Table1[[#This Row],[Location]],LEN(Table1[[#This Row],[Location]])-FIND(",",Table1[[#This Row],[Location]])))</f>
        <v>Illinois</v>
      </c>
      <c r="F131" t="s">
        <v>24</v>
      </c>
      <c r="G131" t="s">
        <v>35</v>
      </c>
      <c r="H131" t="s">
        <v>19</v>
      </c>
      <c r="I131">
        <v>23156</v>
      </c>
      <c r="J131">
        <v>73</v>
      </c>
      <c r="K131">
        <v>4468</v>
      </c>
      <c r="L131">
        <v>18821</v>
      </c>
      <c r="M131">
        <v>15</v>
      </c>
      <c r="N131">
        <v>6173.4128899999996</v>
      </c>
      <c r="O131" s="7">
        <f>IFERROR(Table1[[#This Row],[Clicks]]/Table1[[#This Row],[Impressions]],0)</f>
        <v>3.1525306615995856E-3</v>
      </c>
      <c r="P131" s="5">
        <f>IFERROR(Table1[[#This Row],[Total Conversions]]/Table1[[#This Row],[Clicks]],0)</f>
        <v>0.20547945205479451</v>
      </c>
      <c r="Q131" s="10">
        <f>IFERROR(Table1[[#This Row],[Gross Cost]]/Table1[[#This Row],[Total Conversions]],0)</f>
        <v>411.56085933333333</v>
      </c>
      <c r="R131" s="10">
        <f>IFERROR(Table1[[#This Row],[Gross Cost]]/(Table1[[#This Row],[Impressions]]/1000),0)</f>
        <v>266.60100578683711</v>
      </c>
      <c r="S131" s="5">
        <f>IFERROR(Table1[[#This Row],[Viewable Impressions]]/Table1[[#This Row],[Measurable Impressions]],0)</f>
        <v>0.23739439987248287</v>
      </c>
      <c r="T131" s="10">
        <f>IFERROR(1000*Table1[[#This Row],[Gross Cost]]/Table1[[#This Row],[Viewable Impressions]],0)</f>
        <v>1381.6949171888987</v>
      </c>
      <c r="U131" s="10"/>
    </row>
    <row r="132" spans="1:21" x14ac:dyDescent="0.2">
      <c r="A132" t="s">
        <v>1033</v>
      </c>
      <c r="B132" t="s">
        <v>14</v>
      </c>
      <c r="C132" t="s">
        <v>15</v>
      </c>
      <c r="D132" t="s">
        <v>16</v>
      </c>
      <c r="E132" t="str">
        <f>TRIM(RIGHT(Table1[[#This Row],[Location]],LEN(Table1[[#This Row],[Location]])-FIND(",",Table1[[#This Row],[Location]])))</f>
        <v>California</v>
      </c>
      <c r="F132" t="s">
        <v>1031</v>
      </c>
      <c r="G132" t="s">
        <v>18</v>
      </c>
      <c r="H132" t="s">
        <v>19</v>
      </c>
      <c r="I132">
        <v>20833</v>
      </c>
      <c r="J132">
        <v>87</v>
      </c>
      <c r="K132">
        <v>1777</v>
      </c>
      <c r="L132">
        <v>17211</v>
      </c>
      <c r="M132">
        <v>9</v>
      </c>
      <c r="N132">
        <v>5542.5121810000001</v>
      </c>
      <c r="O132" s="7">
        <f>IFERROR(Table1[[#This Row],[Clicks]]/Table1[[#This Row],[Impressions]],0)</f>
        <v>4.176066817069073E-3</v>
      </c>
      <c r="P132" s="5">
        <f>IFERROR(Table1[[#This Row],[Total Conversions]]/Table1[[#This Row],[Clicks]],0)</f>
        <v>0.10344827586206896</v>
      </c>
      <c r="Q132" s="10">
        <f>IFERROR(Table1[[#This Row],[Gross Cost]]/Table1[[#This Row],[Total Conversions]],0)</f>
        <v>615.83468677777773</v>
      </c>
      <c r="R132" s="10">
        <f>IFERROR(Table1[[#This Row],[Gross Cost]]/(Table1[[#This Row],[Impressions]]/1000),0)</f>
        <v>266.04484140546253</v>
      </c>
      <c r="S132" s="5">
        <f>IFERROR(Table1[[#This Row],[Viewable Impressions]]/Table1[[#This Row],[Measurable Impressions]],0)</f>
        <v>0.10324792284004415</v>
      </c>
      <c r="T132" s="10">
        <f>IFERROR(1000*Table1[[#This Row],[Gross Cost]]/Table1[[#This Row],[Viewable Impressions]],0)</f>
        <v>3119.0276764209339</v>
      </c>
      <c r="U132" s="10"/>
    </row>
    <row r="133" spans="1:21" x14ac:dyDescent="0.2">
      <c r="A133" t="s">
        <v>363</v>
      </c>
      <c r="B133" t="s">
        <v>14</v>
      </c>
      <c r="C133" t="s">
        <v>30</v>
      </c>
      <c r="D133" t="s">
        <v>34</v>
      </c>
      <c r="E133" t="str">
        <f>TRIM(RIGHT(Table1[[#This Row],[Location]],LEN(Table1[[#This Row],[Location]])-FIND(",",Table1[[#This Row],[Location]])))</f>
        <v>Illinois</v>
      </c>
      <c r="F133" t="s">
        <v>364</v>
      </c>
      <c r="G133" t="s">
        <v>18</v>
      </c>
      <c r="H133" t="s">
        <v>51</v>
      </c>
      <c r="I133">
        <v>27394</v>
      </c>
      <c r="J133">
        <v>74</v>
      </c>
      <c r="K133">
        <v>16144</v>
      </c>
      <c r="L133">
        <v>24752</v>
      </c>
      <c r="M133">
        <v>78</v>
      </c>
      <c r="N133">
        <v>7264.5876099999996</v>
      </c>
      <c r="O133" s="7">
        <f>IFERROR(Table1[[#This Row],[Clicks]]/Table1[[#This Row],[Impressions]],0)</f>
        <v>2.7013214572534131E-3</v>
      </c>
      <c r="P133" s="5">
        <f>IFERROR(Table1[[#This Row],[Total Conversions]]/Table1[[#This Row],[Clicks]],0)</f>
        <v>1.0540540540540539</v>
      </c>
      <c r="Q133" s="10">
        <f>IFERROR(Table1[[#This Row],[Gross Cost]]/Table1[[#This Row],[Total Conversions]],0)</f>
        <v>93.135738589743582</v>
      </c>
      <c r="R133" s="10">
        <f>IFERROR(Table1[[#This Row],[Gross Cost]]/(Table1[[#This Row],[Impressions]]/1000),0)</f>
        <v>265.18900525662553</v>
      </c>
      <c r="S133" s="5">
        <f>IFERROR(Table1[[#This Row],[Viewable Impressions]]/Table1[[#This Row],[Measurable Impressions]],0)</f>
        <v>0.65223012281835813</v>
      </c>
      <c r="T133" s="10">
        <f>IFERROR(1000*Table1[[#This Row],[Gross Cost]]/Table1[[#This Row],[Viewable Impressions]],0)</f>
        <v>449.9868440287413</v>
      </c>
      <c r="U133" s="10"/>
    </row>
    <row r="134" spans="1:21" x14ac:dyDescent="0.2">
      <c r="A134" t="s">
        <v>379</v>
      </c>
      <c r="B134" t="s">
        <v>14</v>
      </c>
      <c r="C134" t="s">
        <v>22</v>
      </c>
      <c r="D134" t="s">
        <v>77</v>
      </c>
      <c r="E134" t="str">
        <f>TRIM(RIGHT(Table1[[#This Row],[Location]],LEN(Table1[[#This Row],[Location]])-FIND(",",Table1[[#This Row],[Location]])))</f>
        <v>New York</v>
      </c>
      <c r="F134" t="s">
        <v>377</v>
      </c>
      <c r="G134" t="s">
        <v>25</v>
      </c>
      <c r="H134" t="s">
        <v>26</v>
      </c>
      <c r="I134">
        <v>13100</v>
      </c>
      <c r="J134">
        <v>80</v>
      </c>
      <c r="K134">
        <v>6507</v>
      </c>
      <c r="L134">
        <v>10895</v>
      </c>
      <c r="M134">
        <v>5</v>
      </c>
      <c r="N134">
        <v>3411.590029</v>
      </c>
      <c r="O134" s="7">
        <f>IFERROR(Table1[[#This Row],[Clicks]]/Table1[[#This Row],[Impressions]],0)</f>
        <v>6.1068702290076335E-3</v>
      </c>
      <c r="P134" s="5">
        <f>IFERROR(Table1[[#This Row],[Total Conversions]]/Table1[[#This Row],[Clicks]],0)</f>
        <v>6.25E-2</v>
      </c>
      <c r="Q134" s="10">
        <f>IFERROR(Table1[[#This Row],[Gross Cost]]/Table1[[#This Row],[Total Conversions]],0)</f>
        <v>682.31800580000004</v>
      </c>
      <c r="R134" s="10">
        <f>IFERROR(Table1[[#This Row],[Gross Cost]]/(Table1[[#This Row],[Impressions]]/1000),0)</f>
        <v>260.42671977099235</v>
      </c>
      <c r="S134" s="5">
        <f>IFERROR(Table1[[#This Row],[Viewable Impressions]]/Table1[[#This Row],[Measurable Impressions]],0)</f>
        <v>0.59724644332262511</v>
      </c>
      <c r="T134" s="10">
        <f>IFERROR(1000*Table1[[#This Row],[Gross Cost]]/Table1[[#This Row],[Viewable Impressions]],0)</f>
        <v>524.29537866912563</v>
      </c>
      <c r="U134" s="10"/>
    </row>
    <row r="135" spans="1:21" x14ac:dyDescent="0.2">
      <c r="A135" t="s">
        <v>855</v>
      </c>
      <c r="B135" t="s">
        <v>60</v>
      </c>
      <c r="C135" t="s">
        <v>15</v>
      </c>
      <c r="D135" t="s">
        <v>65</v>
      </c>
      <c r="E135" t="str">
        <f>TRIM(RIGHT(Table1[[#This Row],[Location]],LEN(Table1[[#This Row],[Location]])-FIND(",",Table1[[#This Row],[Location]])))</f>
        <v>Florida</v>
      </c>
      <c r="F135" t="s">
        <v>856</v>
      </c>
      <c r="G135" t="s">
        <v>25</v>
      </c>
      <c r="H135" t="s">
        <v>26</v>
      </c>
      <c r="I135">
        <v>7531</v>
      </c>
      <c r="J135">
        <v>10</v>
      </c>
      <c r="K135">
        <v>3059</v>
      </c>
      <c r="L135">
        <v>6523</v>
      </c>
      <c r="M135">
        <v>1</v>
      </c>
      <c r="N135">
        <v>1937.0583879999999</v>
      </c>
      <c r="O135" s="7">
        <f>IFERROR(Table1[[#This Row],[Clicks]]/Table1[[#This Row],[Impressions]],0)</f>
        <v>1.3278449077147789E-3</v>
      </c>
      <c r="P135" s="5">
        <f>IFERROR(Table1[[#This Row],[Total Conversions]]/Table1[[#This Row],[Clicks]],0)</f>
        <v>0.1</v>
      </c>
      <c r="Q135" s="10">
        <f>IFERROR(Table1[[#This Row],[Gross Cost]]/Table1[[#This Row],[Total Conversions]],0)</f>
        <v>1937.0583879999999</v>
      </c>
      <c r="R135" s="10">
        <f>IFERROR(Table1[[#This Row],[Gross Cost]]/(Table1[[#This Row],[Impressions]]/1000),0)</f>
        <v>257.21131164519983</v>
      </c>
      <c r="S135" s="5">
        <f>IFERROR(Table1[[#This Row],[Viewable Impressions]]/Table1[[#This Row],[Measurable Impressions]],0)</f>
        <v>0.46895600183964431</v>
      </c>
      <c r="T135" s="10">
        <f>IFERROR(1000*Table1[[#This Row],[Gross Cost]]/Table1[[#This Row],[Viewable Impressions]],0)</f>
        <v>633.23255573716904</v>
      </c>
      <c r="U135" s="10"/>
    </row>
    <row r="136" spans="1:21" x14ac:dyDescent="0.2">
      <c r="A136" t="s">
        <v>814</v>
      </c>
      <c r="B136" t="s">
        <v>14</v>
      </c>
      <c r="C136" t="s">
        <v>15</v>
      </c>
      <c r="D136" t="s">
        <v>149</v>
      </c>
      <c r="E136" t="str">
        <f>TRIM(RIGHT(Table1[[#This Row],[Location]],LEN(Table1[[#This Row],[Location]])-FIND(",",Table1[[#This Row],[Location]])))</f>
        <v>Indiana</v>
      </c>
      <c r="F136" t="s">
        <v>811</v>
      </c>
      <c r="G136" t="s">
        <v>18</v>
      </c>
      <c r="H136" t="s">
        <v>19</v>
      </c>
      <c r="I136">
        <v>21599</v>
      </c>
      <c r="J136">
        <v>66</v>
      </c>
      <c r="K136">
        <v>13600</v>
      </c>
      <c r="L136">
        <v>20256</v>
      </c>
      <c r="M136">
        <v>9</v>
      </c>
      <c r="N136">
        <v>5551.3874150000001</v>
      </c>
      <c r="O136" s="7">
        <f>IFERROR(Table1[[#This Row],[Clicks]]/Table1[[#This Row],[Impressions]],0)</f>
        <v>3.0556970230103246E-3</v>
      </c>
      <c r="P136" s="5">
        <f>IFERROR(Table1[[#This Row],[Total Conversions]]/Table1[[#This Row],[Clicks]],0)</f>
        <v>0.13636363636363635</v>
      </c>
      <c r="Q136" s="10">
        <f>IFERROR(Table1[[#This Row],[Gross Cost]]/Table1[[#This Row],[Total Conversions]],0)</f>
        <v>616.82082388888887</v>
      </c>
      <c r="R136" s="10">
        <f>IFERROR(Table1[[#This Row],[Gross Cost]]/(Table1[[#This Row],[Impressions]]/1000),0)</f>
        <v>257.02057572109823</v>
      </c>
      <c r="S136" s="5">
        <f>IFERROR(Table1[[#This Row],[Viewable Impressions]]/Table1[[#This Row],[Measurable Impressions]],0)</f>
        <v>0.67140600315955767</v>
      </c>
      <c r="T136" s="10">
        <f>IFERROR(1000*Table1[[#This Row],[Gross Cost]]/Table1[[#This Row],[Viewable Impressions]],0)</f>
        <v>408.1902511029412</v>
      </c>
      <c r="U136" s="10"/>
    </row>
    <row r="137" spans="1:21" x14ac:dyDescent="0.2">
      <c r="A137" t="s">
        <v>963</v>
      </c>
      <c r="B137" t="s">
        <v>14</v>
      </c>
      <c r="C137" t="s">
        <v>41</v>
      </c>
      <c r="D137" t="s">
        <v>83</v>
      </c>
      <c r="E137" t="str">
        <f>TRIM(RIGHT(Table1[[#This Row],[Location]],LEN(Table1[[#This Row],[Location]])-FIND(",",Table1[[#This Row],[Location]])))</f>
        <v>Florida</v>
      </c>
      <c r="F137" t="s">
        <v>960</v>
      </c>
      <c r="G137" t="s">
        <v>35</v>
      </c>
      <c r="H137" t="s">
        <v>26</v>
      </c>
      <c r="I137">
        <v>8545</v>
      </c>
      <c r="J137">
        <v>20</v>
      </c>
      <c r="K137">
        <v>3454</v>
      </c>
      <c r="L137">
        <v>5510</v>
      </c>
      <c r="M137">
        <v>2</v>
      </c>
      <c r="N137">
        <v>2181.2479490000001</v>
      </c>
      <c r="O137" s="7">
        <f>IFERROR(Table1[[#This Row],[Clicks]]/Table1[[#This Row],[Impressions]],0)</f>
        <v>2.3405500292568754E-3</v>
      </c>
      <c r="P137" s="5">
        <f>IFERROR(Table1[[#This Row],[Total Conversions]]/Table1[[#This Row],[Clicks]],0)</f>
        <v>0.1</v>
      </c>
      <c r="Q137" s="10">
        <f>IFERROR(Table1[[#This Row],[Gross Cost]]/Table1[[#This Row],[Total Conversions]],0)</f>
        <v>1090.6239745</v>
      </c>
      <c r="R137" s="10">
        <f>IFERROR(Table1[[#This Row],[Gross Cost]]/(Table1[[#This Row],[Impressions]]/1000),0)</f>
        <v>255.26599754242247</v>
      </c>
      <c r="S137" s="5">
        <f>IFERROR(Table1[[#This Row],[Viewable Impressions]]/Table1[[#This Row],[Measurable Impressions]],0)</f>
        <v>0.62686025408348456</v>
      </c>
      <c r="T137" s="10">
        <f>IFERROR(1000*Table1[[#This Row],[Gross Cost]]/Table1[[#This Row],[Viewable Impressions]],0)</f>
        <v>631.51359264620726</v>
      </c>
      <c r="U137" s="10"/>
    </row>
    <row r="138" spans="1:21" x14ac:dyDescent="0.2">
      <c r="A138" t="s">
        <v>103</v>
      </c>
      <c r="B138" t="s">
        <v>14</v>
      </c>
      <c r="C138" t="s">
        <v>15</v>
      </c>
      <c r="D138" t="s">
        <v>34</v>
      </c>
      <c r="E138" t="str">
        <f>TRIM(RIGHT(Table1[[#This Row],[Location]],LEN(Table1[[#This Row],[Location]])-FIND(",",Table1[[#This Row],[Location]])))</f>
        <v>Illinois</v>
      </c>
      <c r="F138" t="s">
        <v>104</v>
      </c>
      <c r="G138" t="s">
        <v>25</v>
      </c>
      <c r="H138" t="s">
        <v>19</v>
      </c>
      <c r="I138">
        <v>26558</v>
      </c>
      <c r="J138">
        <v>111</v>
      </c>
      <c r="K138">
        <v>15761</v>
      </c>
      <c r="L138">
        <v>23532</v>
      </c>
      <c r="M138">
        <v>14</v>
      </c>
      <c r="N138">
        <v>6751.5589810000001</v>
      </c>
      <c r="O138" s="7">
        <f>IFERROR(Table1[[#This Row],[Clicks]]/Table1[[#This Row],[Impressions]],0)</f>
        <v>4.1795315912342796E-3</v>
      </c>
      <c r="P138" s="5">
        <f>IFERROR(Table1[[#This Row],[Total Conversions]]/Table1[[#This Row],[Clicks]],0)</f>
        <v>0.12612612612612611</v>
      </c>
      <c r="Q138" s="10">
        <f>IFERROR(Table1[[#This Row],[Gross Cost]]/Table1[[#This Row],[Total Conversions]],0)</f>
        <v>482.25421292857146</v>
      </c>
      <c r="R138" s="10">
        <f>IFERROR(Table1[[#This Row],[Gross Cost]]/(Table1[[#This Row],[Impressions]]/1000),0)</f>
        <v>254.21940586640562</v>
      </c>
      <c r="S138" s="5">
        <f>IFERROR(Table1[[#This Row],[Viewable Impressions]]/Table1[[#This Row],[Measurable Impressions]],0)</f>
        <v>0.6697688254292028</v>
      </c>
      <c r="T138" s="10">
        <f>IFERROR(1000*Table1[[#This Row],[Gross Cost]]/Table1[[#This Row],[Viewable Impressions]],0)</f>
        <v>428.37123158429034</v>
      </c>
      <c r="U138" s="10"/>
    </row>
    <row r="139" spans="1:21" x14ac:dyDescent="0.2">
      <c r="A139" t="s">
        <v>443</v>
      </c>
      <c r="B139" t="s">
        <v>21</v>
      </c>
      <c r="C139" t="s">
        <v>30</v>
      </c>
      <c r="D139" t="s">
        <v>94</v>
      </c>
      <c r="E139" t="str">
        <f>TRIM(RIGHT(Table1[[#This Row],[Location]],LEN(Table1[[#This Row],[Location]])-FIND(",",Table1[[#This Row],[Location]])))</f>
        <v>Florida</v>
      </c>
      <c r="F139" t="s">
        <v>444</v>
      </c>
      <c r="G139" t="s">
        <v>18</v>
      </c>
      <c r="H139" t="s">
        <v>26</v>
      </c>
      <c r="I139">
        <v>26820</v>
      </c>
      <c r="J139">
        <v>80</v>
      </c>
      <c r="K139">
        <v>13553</v>
      </c>
      <c r="L139">
        <v>21192</v>
      </c>
      <c r="M139">
        <v>12</v>
      </c>
      <c r="N139">
        <v>6745.1034399999999</v>
      </c>
      <c r="O139" s="7">
        <f>IFERROR(Table1[[#This Row],[Clicks]]/Table1[[#This Row],[Impressions]],0)</f>
        <v>2.9828486204325128E-3</v>
      </c>
      <c r="P139" s="5">
        <f>IFERROR(Table1[[#This Row],[Total Conversions]]/Table1[[#This Row],[Clicks]],0)</f>
        <v>0.15</v>
      </c>
      <c r="Q139" s="10">
        <f>IFERROR(Table1[[#This Row],[Gross Cost]]/Table1[[#This Row],[Total Conversions]],0)</f>
        <v>562.09195333333332</v>
      </c>
      <c r="R139" s="10">
        <f>IFERROR(Table1[[#This Row],[Gross Cost]]/(Table1[[#This Row],[Impressions]]/1000),0)</f>
        <v>251.49528113348248</v>
      </c>
      <c r="S139" s="5">
        <f>IFERROR(Table1[[#This Row],[Viewable Impressions]]/Table1[[#This Row],[Measurable Impressions]],0)</f>
        <v>0.63953378633446578</v>
      </c>
      <c r="T139" s="10">
        <f>IFERROR(1000*Table1[[#This Row],[Gross Cost]]/Table1[[#This Row],[Viewable Impressions]],0)</f>
        <v>497.68342359625171</v>
      </c>
      <c r="U139" s="10"/>
    </row>
    <row r="140" spans="1:21" x14ac:dyDescent="0.2">
      <c r="A140" t="s">
        <v>793</v>
      </c>
      <c r="B140" t="s">
        <v>14</v>
      </c>
      <c r="C140" t="s">
        <v>30</v>
      </c>
      <c r="D140" t="s">
        <v>23</v>
      </c>
      <c r="E140" t="str">
        <f>TRIM(RIGHT(Table1[[#This Row],[Location]],LEN(Table1[[#This Row],[Location]])-FIND(",",Table1[[#This Row],[Location]])))</f>
        <v>Florida</v>
      </c>
      <c r="F140" t="s">
        <v>794</v>
      </c>
      <c r="G140" t="s">
        <v>35</v>
      </c>
      <c r="H140" t="s">
        <v>26</v>
      </c>
      <c r="I140">
        <v>10389</v>
      </c>
      <c r="J140">
        <v>55</v>
      </c>
      <c r="K140">
        <v>8161</v>
      </c>
      <c r="L140">
        <v>9951</v>
      </c>
      <c r="M140">
        <v>2</v>
      </c>
      <c r="N140">
        <v>2582.4938470000002</v>
      </c>
      <c r="O140" s="7">
        <f>IFERROR(Table1[[#This Row],[Clicks]]/Table1[[#This Row],[Impressions]],0)</f>
        <v>5.2940610260852825E-3</v>
      </c>
      <c r="P140" s="5">
        <f>IFERROR(Table1[[#This Row],[Total Conversions]]/Table1[[#This Row],[Clicks]],0)</f>
        <v>3.6363636363636362E-2</v>
      </c>
      <c r="Q140" s="10">
        <f>IFERROR(Table1[[#This Row],[Gross Cost]]/Table1[[#This Row],[Total Conversions]],0)</f>
        <v>1291.2469235000001</v>
      </c>
      <c r="R140" s="10">
        <f>IFERROR(Table1[[#This Row],[Gross Cost]]/(Table1[[#This Row],[Impressions]]/1000),0)</f>
        <v>248.57963682741365</v>
      </c>
      <c r="S140" s="5">
        <f>IFERROR(Table1[[#This Row],[Viewable Impressions]]/Table1[[#This Row],[Measurable Impressions]],0)</f>
        <v>0.82011858104713098</v>
      </c>
      <c r="T140" s="10">
        <f>IFERROR(1000*Table1[[#This Row],[Gross Cost]]/Table1[[#This Row],[Viewable Impressions]],0)</f>
        <v>316.44330927582405</v>
      </c>
      <c r="U140" s="10"/>
    </row>
    <row r="141" spans="1:21" x14ac:dyDescent="0.2">
      <c r="A141" t="s">
        <v>643</v>
      </c>
      <c r="B141" t="s">
        <v>21</v>
      </c>
      <c r="C141" t="s">
        <v>15</v>
      </c>
      <c r="D141" t="s">
        <v>130</v>
      </c>
      <c r="E141" t="str">
        <f>TRIM(RIGHT(Table1[[#This Row],[Location]],LEN(Table1[[#This Row],[Location]])-FIND(",",Table1[[#This Row],[Location]])))</f>
        <v>Michigan</v>
      </c>
      <c r="F141" t="s">
        <v>644</v>
      </c>
      <c r="G141" t="s">
        <v>45</v>
      </c>
      <c r="H141" t="s">
        <v>26</v>
      </c>
      <c r="I141">
        <v>26784</v>
      </c>
      <c r="J141">
        <v>85</v>
      </c>
      <c r="K141">
        <v>12708</v>
      </c>
      <c r="L141">
        <v>22261</v>
      </c>
      <c r="M141">
        <v>9</v>
      </c>
      <c r="N141">
        <v>6643.1616469999999</v>
      </c>
      <c r="O141" s="7">
        <f>IFERROR(Table1[[#This Row],[Clicks]]/Table1[[#This Row],[Impressions]],0)</f>
        <v>3.1735364396654718E-3</v>
      </c>
      <c r="P141" s="5">
        <f>IFERROR(Table1[[#This Row],[Total Conversions]]/Table1[[#This Row],[Clicks]],0)</f>
        <v>0.10588235294117647</v>
      </c>
      <c r="Q141" s="10">
        <f>IFERROR(Table1[[#This Row],[Gross Cost]]/Table1[[#This Row],[Total Conversions]],0)</f>
        <v>738.12907188888892</v>
      </c>
      <c r="R141" s="10">
        <f>IFERROR(Table1[[#This Row],[Gross Cost]]/(Table1[[#This Row],[Impressions]]/1000),0)</f>
        <v>248.02724189814816</v>
      </c>
      <c r="S141" s="5">
        <f>IFERROR(Table1[[#This Row],[Viewable Impressions]]/Table1[[#This Row],[Measurable Impressions]],0)</f>
        <v>0.57086384259467227</v>
      </c>
      <c r="T141" s="10">
        <f>IFERROR(1000*Table1[[#This Row],[Gross Cost]]/Table1[[#This Row],[Viewable Impressions]],0)</f>
        <v>522.75430020459555</v>
      </c>
      <c r="U141" s="10"/>
    </row>
    <row r="142" spans="1:21" x14ac:dyDescent="0.2">
      <c r="A142" t="s">
        <v>849</v>
      </c>
      <c r="B142" t="s">
        <v>14</v>
      </c>
      <c r="C142" t="s">
        <v>15</v>
      </c>
      <c r="D142" t="s">
        <v>28</v>
      </c>
      <c r="E142" t="str">
        <f>TRIM(RIGHT(Table1[[#This Row],[Location]],LEN(Table1[[#This Row],[Location]])-FIND(",",Table1[[#This Row],[Location]])))</f>
        <v>California</v>
      </c>
      <c r="F142" t="s">
        <v>850</v>
      </c>
      <c r="G142" t="s">
        <v>45</v>
      </c>
      <c r="H142" t="s">
        <v>26</v>
      </c>
      <c r="I142">
        <v>10653</v>
      </c>
      <c r="J142">
        <v>68</v>
      </c>
      <c r="K142">
        <v>5263</v>
      </c>
      <c r="L142">
        <v>9921</v>
      </c>
      <c r="M142">
        <v>11</v>
      </c>
      <c r="N142">
        <v>2641.4783969999999</v>
      </c>
      <c r="O142" s="7">
        <f>IFERROR(Table1[[#This Row],[Clicks]]/Table1[[#This Row],[Impressions]],0)</f>
        <v>6.3831784473857133E-3</v>
      </c>
      <c r="P142" s="5">
        <f>IFERROR(Table1[[#This Row],[Total Conversions]]/Table1[[#This Row],[Clicks]],0)</f>
        <v>0.16176470588235295</v>
      </c>
      <c r="Q142" s="10">
        <f>IFERROR(Table1[[#This Row],[Gross Cost]]/Table1[[#This Row],[Total Conversions]],0)</f>
        <v>240.13439972727272</v>
      </c>
      <c r="R142" s="10">
        <f>IFERROR(Table1[[#This Row],[Gross Cost]]/(Table1[[#This Row],[Impressions]]/1000),0)</f>
        <v>247.95629372007883</v>
      </c>
      <c r="S142" s="5">
        <f>IFERROR(Table1[[#This Row],[Viewable Impressions]]/Table1[[#This Row],[Measurable Impressions]],0)</f>
        <v>0.53049087793569194</v>
      </c>
      <c r="T142" s="10">
        <f>IFERROR(1000*Table1[[#This Row],[Gross Cost]]/Table1[[#This Row],[Viewable Impressions]],0)</f>
        <v>501.89595230856924</v>
      </c>
      <c r="U142" s="10"/>
    </row>
    <row r="143" spans="1:21" x14ac:dyDescent="0.2">
      <c r="A143" t="s">
        <v>279</v>
      </c>
      <c r="B143" t="s">
        <v>14</v>
      </c>
      <c r="C143" t="s">
        <v>22</v>
      </c>
      <c r="D143" t="s">
        <v>16</v>
      </c>
      <c r="E143" t="str">
        <f>TRIM(RIGHT(Table1[[#This Row],[Location]],LEN(Table1[[#This Row],[Location]])-FIND(",",Table1[[#This Row],[Location]])))</f>
        <v>California</v>
      </c>
      <c r="F143" t="s">
        <v>280</v>
      </c>
      <c r="G143" t="s">
        <v>18</v>
      </c>
      <c r="H143" t="s">
        <v>26</v>
      </c>
      <c r="I143">
        <v>12391</v>
      </c>
      <c r="J143">
        <v>40</v>
      </c>
      <c r="K143">
        <v>5756</v>
      </c>
      <c r="L143">
        <v>11636</v>
      </c>
      <c r="M143">
        <v>4</v>
      </c>
      <c r="N143">
        <v>3069.1234829999999</v>
      </c>
      <c r="O143" s="7">
        <f>IFERROR(Table1[[#This Row],[Clicks]]/Table1[[#This Row],[Impressions]],0)</f>
        <v>3.2281494633201518E-3</v>
      </c>
      <c r="P143" s="5">
        <f>IFERROR(Table1[[#This Row],[Total Conversions]]/Table1[[#This Row],[Clicks]],0)</f>
        <v>0.1</v>
      </c>
      <c r="Q143" s="10">
        <f>IFERROR(Table1[[#This Row],[Gross Cost]]/Table1[[#This Row],[Total Conversions]],0)</f>
        <v>767.28087074999996</v>
      </c>
      <c r="R143" s="10">
        <f>IFERROR(Table1[[#This Row],[Gross Cost]]/(Table1[[#This Row],[Impressions]]/1000),0)</f>
        <v>247.68973311274311</v>
      </c>
      <c r="S143" s="5">
        <f>IFERROR(Table1[[#This Row],[Viewable Impressions]]/Table1[[#This Row],[Measurable Impressions]],0)</f>
        <v>0.49467170849089032</v>
      </c>
      <c r="T143" s="10">
        <f>IFERROR(1000*Table1[[#This Row],[Gross Cost]]/Table1[[#This Row],[Viewable Impressions]],0)</f>
        <v>533.20421872828354</v>
      </c>
      <c r="U143" s="10"/>
    </row>
    <row r="144" spans="1:21" x14ac:dyDescent="0.2">
      <c r="A144" t="s">
        <v>301</v>
      </c>
      <c r="B144" t="s">
        <v>14</v>
      </c>
      <c r="C144" t="s">
        <v>41</v>
      </c>
      <c r="D144" t="s">
        <v>34</v>
      </c>
      <c r="E144" t="str">
        <f>TRIM(RIGHT(Table1[[#This Row],[Location]],LEN(Table1[[#This Row],[Location]])-FIND(",",Table1[[#This Row],[Location]])))</f>
        <v>Illinois</v>
      </c>
      <c r="F144" t="s">
        <v>296</v>
      </c>
      <c r="G144" t="s">
        <v>35</v>
      </c>
      <c r="H144" t="s">
        <v>19</v>
      </c>
      <c r="I144">
        <v>27592</v>
      </c>
      <c r="J144">
        <v>80</v>
      </c>
      <c r="K144">
        <v>10901</v>
      </c>
      <c r="L144">
        <v>24980</v>
      </c>
      <c r="M144">
        <v>17</v>
      </c>
      <c r="N144">
        <v>6809.3560219999999</v>
      </c>
      <c r="O144" s="7">
        <f>IFERROR(Table1[[#This Row],[Clicks]]/Table1[[#This Row],[Impressions]],0)</f>
        <v>2.8993911278631487E-3</v>
      </c>
      <c r="P144" s="5">
        <f>IFERROR(Table1[[#This Row],[Total Conversions]]/Table1[[#This Row],[Clicks]],0)</f>
        <v>0.21249999999999999</v>
      </c>
      <c r="Q144" s="10">
        <f>IFERROR(Table1[[#This Row],[Gross Cost]]/Table1[[#This Row],[Total Conversions]],0)</f>
        <v>400.55035423529409</v>
      </c>
      <c r="R144" s="10">
        <f>IFERROR(Table1[[#This Row],[Gross Cost]]/(Table1[[#This Row],[Impressions]]/1000),0)</f>
        <v>246.78733045810381</v>
      </c>
      <c r="S144" s="5">
        <f>IFERROR(Table1[[#This Row],[Viewable Impressions]]/Table1[[#This Row],[Measurable Impressions]],0)</f>
        <v>0.43638911128903124</v>
      </c>
      <c r="T144" s="10">
        <f>IFERROR(1000*Table1[[#This Row],[Gross Cost]]/Table1[[#This Row],[Viewable Impressions]],0)</f>
        <v>624.65425392165855</v>
      </c>
      <c r="U144" s="10"/>
    </row>
    <row r="145" spans="1:21" x14ac:dyDescent="0.2">
      <c r="A145" t="s">
        <v>1032</v>
      </c>
      <c r="B145" t="s">
        <v>14</v>
      </c>
      <c r="C145" t="s">
        <v>41</v>
      </c>
      <c r="D145" t="s">
        <v>34</v>
      </c>
      <c r="E145" t="str">
        <f>TRIM(RIGHT(Table1[[#This Row],[Location]],LEN(Table1[[#This Row],[Location]])-FIND(",",Table1[[#This Row],[Location]])))</f>
        <v>Illinois</v>
      </c>
      <c r="F145" t="s">
        <v>1031</v>
      </c>
      <c r="G145" t="s">
        <v>116</v>
      </c>
      <c r="H145" t="s">
        <v>19</v>
      </c>
      <c r="I145">
        <v>26212</v>
      </c>
      <c r="J145">
        <v>77</v>
      </c>
      <c r="K145">
        <v>12726</v>
      </c>
      <c r="L145">
        <v>24442</v>
      </c>
      <c r="M145">
        <v>15</v>
      </c>
      <c r="N145">
        <v>6452.9350100000001</v>
      </c>
      <c r="O145" s="7">
        <f>IFERROR(Table1[[#This Row],[Clicks]]/Table1[[#This Row],[Impressions]],0)</f>
        <v>2.9375858385472303E-3</v>
      </c>
      <c r="P145" s="5">
        <f>IFERROR(Table1[[#This Row],[Total Conversions]]/Table1[[#This Row],[Clicks]],0)</f>
        <v>0.19480519480519481</v>
      </c>
      <c r="Q145" s="10">
        <f>IFERROR(Table1[[#This Row],[Gross Cost]]/Table1[[#This Row],[Total Conversions]],0)</f>
        <v>430.19566733333335</v>
      </c>
      <c r="R145" s="10">
        <f>IFERROR(Table1[[#This Row],[Gross Cost]]/(Table1[[#This Row],[Impressions]]/1000),0)</f>
        <v>246.18247405768352</v>
      </c>
      <c r="S145" s="5">
        <f>IFERROR(Table1[[#This Row],[Viewable Impressions]]/Table1[[#This Row],[Measurable Impressions]],0)</f>
        <v>0.52066115702479343</v>
      </c>
      <c r="T145" s="10">
        <f>IFERROR(1000*Table1[[#This Row],[Gross Cost]]/Table1[[#This Row],[Viewable Impressions]],0)</f>
        <v>507.06702891717742</v>
      </c>
      <c r="U145" s="10"/>
    </row>
    <row r="146" spans="1:21" x14ac:dyDescent="0.2">
      <c r="A146" t="s">
        <v>813</v>
      </c>
      <c r="B146" t="s">
        <v>21</v>
      </c>
      <c r="C146" t="s">
        <v>15</v>
      </c>
      <c r="D146" t="s">
        <v>130</v>
      </c>
      <c r="E146" t="str">
        <f>TRIM(RIGHT(Table1[[#This Row],[Location]],LEN(Table1[[#This Row],[Location]])-FIND(",",Table1[[#This Row],[Location]])))</f>
        <v>Michigan</v>
      </c>
      <c r="F146" t="s">
        <v>811</v>
      </c>
      <c r="G146" t="s">
        <v>25</v>
      </c>
      <c r="H146" t="s">
        <v>26</v>
      </c>
      <c r="I146">
        <v>24100</v>
      </c>
      <c r="J146">
        <v>110</v>
      </c>
      <c r="K146">
        <v>11355</v>
      </c>
      <c r="L146">
        <v>21740</v>
      </c>
      <c r="M146">
        <v>5</v>
      </c>
      <c r="N146">
        <v>5912.2609750000001</v>
      </c>
      <c r="O146" s="7">
        <f>IFERROR(Table1[[#This Row],[Clicks]]/Table1[[#This Row],[Impressions]],0)</f>
        <v>4.5643153526970957E-3</v>
      </c>
      <c r="P146" s="5">
        <f>IFERROR(Table1[[#This Row],[Total Conversions]]/Table1[[#This Row],[Clicks]],0)</f>
        <v>4.5454545454545456E-2</v>
      </c>
      <c r="Q146" s="10">
        <f>IFERROR(Table1[[#This Row],[Gross Cost]]/Table1[[#This Row],[Total Conversions]],0)</f>
        <v>1182.4521950000001</v>
      </c>
      <c r="R146" s="10">
        <f>IFERROR(Table1[[#This Row],[Gross Cost]]/(Table1[[#This Row],[Impressions]]/1000),0)</f>
        <v>245.32203215767635</v>
      </c>
      <c r="S146" s="5">
        <f>IFERROR(Table1[[#This Row],[Viewable Impressions]]/Table1[[#This Row],[Measurable Impressions]],0)</f>
        <v>0.5223091076356946</v>
      </c>
      <c r="T146" s="10">
        <f>IFERROR(1000*Table1[[#This Row],[Gross Cost]]/Table1[[#This Row],[Viewable Impressions]],0)</f>
        <v>520.67467855570237</v>
      </c>
      <c r="U146" s="10"/>
    </row>
    <row r="147" spans="1:21" x14ac:dyDescent="0.2">
      <c r="A147" t="s">
        <v>619</v>
      </c>
      <c r="B147" t="s">
        <v>21</v>
      </c>
      <c r="C147" t="s">
        <v>22</v>
      </c>
      <c r="D147" t="s">
        <v>44</v>
      </c>
      <c r="E147" t="str">
        <f>TRIM(RIGHT(Table1[[#This Row],[Location]],LEN(Table1[[#This Row],[Location]])-FIND(",",Table1[[#This Row],[Location]])))</f>
        <v>Florida</v>
      </c>
      <c r="F147" t="s">
        <v>611</v>
      </c>
      <c r="G147" t="s">
        <v>18</v>
      </c>
      <c r="H147" t="s">
        <v>26</v>
      </c>
      <c r="I147">
        <v>26270</v>
      </c>
      <c r="J147">
        <v>63</v>
      </c>
      <c r="K147">
        <v>12813</v>
      </c>
      <c r="L147">
        <v>21893</v>
      </c>
      <c r="M147">
        <v>12</v>
      </c>
      <c r="N147">
        <v>6417.2645640000001</v>
      </c>
      <c r="O147" s="7">
        <f>IFERROR(Table1[[#This Row],[Clicks]]/Table1[[#This Row],[Impressions]],0)</f>
        <v>2.398172820708032E-3</v>
      </c>
      <c r="P147" s="5">
        <f>IFERROR(Table1[[#This Row],[Total Conversions]]/Table1[[#This Row],[Clicks]],0)</f>
        <v>0.19047619047619047</v>
      </c>
      <c r="Q147" s="10">
        <f>IFERROR(Table1[[#This Row],[Gross Cost]]/Table1[[#This Row],[Total Conversions]],0)</f>
        <v>534.77204700000004</v>
      </c>
      <c r="R147" s="10">
        <f>IFERROR(Table1[[#This Row],[Gross Cost]]/(Table1[[#This Row],[Impressions]]/1000),0)</f>
        <v>244.28110255043777</v>
      </c>
      <c r="S147" s="5">
        <f>IFERROR(Table1[[#This Row],[Viewable Impressions]]/Table1[[#This Row],[Measurable Impressions]],0)</f>
        <v>0.58525556113826338</v>
      </c>
      <c r="T147" s="10">
        <f>IFERROR(1000*Table1[[#This Row],[Gross Cost]]/Table1[[#This Row],[Viewable Impressions]],0)</f>
        <v>500.84012830718802</v>
      </c>
      <c r="U147" s="10"/>
    </row>
    <row r="148" spans="1:21" x14ac:dyDescent="0.2">
      <c r="A148" t="s">
        <v>785</v>
      </c>
      <c r="B148" t="s">
        <v>14</v>
      </c>
      <c r="C148" t="s">
        <v>15</v>
      </c>
      <c r="D148" t="s">
        <v>34</v>
      </c>
      <c r="E148" t="str">
        <f>TRIM(RIGHT(Table1[[#This Row],[Location]],LEN(Table1[[#This Row],[Location]])-FIND(",",Table1[[#This Row],[Location]])))</f>
        <v>Illinois</v>
      </c>
      <c r="F148" t="s">
        <v>786</v>
      </c>
      <c r="G148" t="s">
        <v>18</v>
      </c>
      <c r="H148" t="s">
        <v>51</v>
      </c>
      <c r="I148">
        <v>26415</v>
      </c>
      <c r="J148">
        <v>60</v>
      </c>
      <c r="K148">
        <v>13791</v>
      </c>
      <c r="L148">
        <v>25315</v>
      </c>
      <c r="M148">
        <v>11</v>
      </c>
      <c r="N148">
        <v>6450.9186369999998</v>
      </c>
      <c r="O148" s="7">
        <f>IFERROR(Table1[[#This Row],[Clicks]]/Table1[[#This Row],[Impressions]],0)</f>
        <v>2.2714366837024418E-3</v>
      </c>
      <c r="P148" s="5">
        <f>IFERROR(Table1[[#This Row],[Total Conversions]]/Table1[[#This Row],[Clicks]],0)</f>
        <v>0.18333333333333332</v>
      </c>
      <c r="Q148" s="10">
        <f>IFERROR(Table1[[#This Row],[Gross Cost]]/Table1[[#This Row],[Total Conversions]],0)</f>
        <v>586.44714881818174</v>
      </c>
      <c r="R148" s="10">
        <f>IFERROR(Table1[[#This Row],[Gross Cost]]/(Table1[[#This Row],[Impressions]]/1000),0)</f>
        <v>244.21422059435926</v>
      </c>
      <c r="S148" s="5">
        <f>IFERROR(Table1[[#This Row],[Viewable Impressions]]/Table1[[#This Row],[Measurable Impressions]],0)</f>
        <v>0.54477582460991503</v>
      </c>
      <c r="T148" s="10">
        <f>IFERROR(1000*Table1[[#This Row],[Gross Cost]]/Table1[[#This Row],[Viewable Impressions]],0)</f>
        <v>467.76293503009208</v>
      </c>
      <c r="U148" s="10"/>
    </row>
    <row r="149" spans="1:21" x14ac:dyDescent="0.2">
      <c r="A149" t="s">
        <v>509</v>
      </c>
      <c r="B149" t="s">
        <v>21</v>
      </c>
      <c r="C149" t="s">
        <v>22</v>
      </c>
      <c r="D149" t="s">
        <v>34</v>
      </c>
      <c r="E149" t="str">
        <f>TRIM(RIGHT(Table1[[#This Row],[Location]],LEN(Table1[[#This Row],[Location]])-FIND(",",Table1[[#This Row],[Location]])))</f>
        <v>Illinois</v>
      </c>
      <c r="F149" t="s">
        <v>510</v>
      </c>
      <c r="G149" t="s">
        <v>45</v>
      </c>
      <c r="H149" t="s">
        <v>26</v>
      </c>
      <c r="I149">
        <v>12868</v>
      </c>
      <c r="J149">
        <v>80</v>
      </c>
      <c r="K149">
        <v>6472</v>
      </c>
      <c r="L149">
        <v>11922</v>
      </c>
      <c r="M149">
        <v>6</v>
      </c>
      <c r="N149">
        <v>3137.143043</v>
      </c>
      <c r="O149" s="7">
        <f>IFERROR(Table1[[#This Row],[Clicks]]/Table1[[#This Row],[Impressions]],0)</f>
        <v>6.2169723344731118E-3</v>
      </c>
      <c r="P149" s="5">
        <f>IFERROR(Table1[[#This Row],[Total Conversions]]/Table1[[#This Row],[Clicks]],0)</f>
        <v>7.4999999999999997E-2</v>
      </c>
      <c r="Q149" s="10">
        <f>IFERROR(Table1[[#This Row],[Gross Cost]]/Table1[[#This Row],[Total Conversions]],0)</f>
        <v>522.85717383333338</v>
      </c>
      <c r="R149" s="10">
        <f>IFERROR(Table1[[#This Row],[Gross Cost]]/(Table1[[#This Row],[Impressions]]/1000),0)</f>
        <v>243.7941438451974</v>
      </c>
      <c r="S149" s="5">
        <f>IFERROR(Table1[[#This Row],[Viewable Impressions]]/Table1[[#This Row],[Measurable Impressions]],0)</f>
        <v>0.54286193591679244</v>
      </c>
      <c r="T149" s="10">
        <f>IFERROR(1000*Table1[[#This Row],[Gross Cost]]/Table1[[#This Row],[Viewable Impressions]],0)</f>
        <v>484.72543927688503</v>
      </c>
      <c r="U149" s="10"/>
    </row>
    <row r="150" spans="1:21" x14ac:dyDescent="0.2">
      <c r="A150" t="s">
        <v>645</v>
      </c>
      <c r="B150" t="s">
        <v>21</v>
      </c>
      <c r="C150" t="s">
        <v>15</v>
      </c>
      <c r="D150" t="s">
        <v>34</v>
      </c>
      <c r="E150" t="str">
        <f>TRIM(RIGHT(Table1[[#This Row],[Location]],LEN(Table1[[#This Row],[Location]])-FIND(",",Table1[[#This Row],[Location]])))</f>
        <v>Illinois</v>
      </c>
      <c r="F150" t="s">
        <v>644</v>
      </c>
      <c r="G150" t="s">
        <v>18</v>
      </c>
      <c r="H150" t="s">
        <v>26</v>
      </c>
      <c r="I150">
        <v>21028</v>
      </c>
      <c r="J150">
        <v>10</v>
      </c>
      <c r="K150">
        <v>5781</v>
      </c>
      <c r="L150">
        <v>16134</v>
      </c>
      <c r="M150">
        <v>11</v>
      </c>
      <c r="N150">
        <v>5101.3216549999997</v>
      </c>
      <c r="O150" s="7">
        <f>IFERROR(Table1[[#This Row],[Clicks]]/Table1[[#This Row],[Impressions]],0)</f>
        <v>4.7555640098915732E-4</v>
      </c>
      <c r="P150" s="5">
        <f>IFERROR(Table1[[#This Row],[Total Conversions]]/Table1[[#This Row],[Clicks]],0)</f>
        <v>1.1000000000000001</v>
      </c>
      <c r="Q150" s="10">
        <f>IFERROR(Table1[[#This Row],[Gross Cost]]/Table1[[#This Row],[Total Conversions]],0)</f>
        <v>463.75651409090909</v>
      </c>
      <c r="R150" s="10">
        <f>IFERROR(Table1[[#This Row],[Gross Cost]]/(Table1[[#This Row],[Impressions]]/1000),0)</f>
        <v>242.59661665398517</v>
      </c>
      <c r="S150" s="5">
        <f>IFERROR(Table1[[#This Row],[Viewable Impressions]]/Table1[[#This Row],[Measurable Impressions]],0)</f>
        <v>0.35831164001487542</v>
      </c>
      <c r="T150" s="10">
        <f>IFERROR(1000*Table1[[#This Row],[Gross Cost]]/Table1[[#This Row],[Viewable Impressions]],0)</f>
        <v>882.4289318457013</v>
      </c>
      <c r="U150" s="10"/>
    </row>
    <row r="151" spans="1:21" x14ac:dyDescent="0.2">
      <c r="A151" t="s">
        <v>36</v>
      </c>
      <c r="B151" t="s">
        <v>21</v>
      </c>
      <c r="C151" t="s">
        <v>30</v>
      </c>
      <c r="D151" t="s">
        <v>16</v>
      </c>
      <c r="E151" t="str">
        <f>TRIM(RIGHT(Table1[[#This Row],[Location]],LEN(Table1[[#This Row],[Location]])-FIND(",",Table1[[#This Row],[Location]])))</f>
        <v>California</v>
      </c>
      <c r="F151" t="s">
        <v>24</v>
      </c>
      <c r="G151" t="s">
        <v>18</v>
      </c>
      <c r="H151" t="s">
        <v>26</v>
      </c>
      <c r="I151">
        <v>23711</v>
      </c>
      <c r="J151">
        <v>69</v>
      </c>
      <c r="K151">
        <v>4337</v>
      </c>
      <c r="L151">
        <v>17211</v>
      </c>
      <c r="M151">
        <v>8</v>
      </c>
      <c r="N151">
        <v>5740.9522189999998</v>
      </c>
      <c r="O151" s="7">
        <f>IFERROR(Table1[[#This Row],[Clicks]]/Table1[[#This Row],[Impressions]],0)</f>
        <v>2.9100417527729745E-3</v>
      </c>
      <c r="P151" s="5">
        <f>IFERROR(Table1[[#This Row],[Total Conversions]]/Table1[[#This Row],[Clicks]],0)</f>
        <v>0.11594202898550725</v>
      </c>
      <c r="Q151" s="10">
        <f>IFERROR(Table1[[#This Row],[Gross Cost]]/Table1[[#This Row],[Total Conversions]],0)</f>
        <v>717.61902737499997</v>
      </c>
      <c r="R151" s="10">
        <f>IFERROR(Table1[[#This Row],[Gross Cost]]/(Table1[[#This Row],[Impressions]]/1000),0)</f>
        <v>242.12189359369069</v>
      </c>
      <c r="S151" s="5">
        <f>IFERROR(Table1[[#This Row],[Viewable Impressions]]/Table1[[#This Row],[Measurable Impressions]],0)</f>
        <v>0.2519900063912614</v>
      </c>
      <c r="T151" s="10">
        <f>IFERROR(1000*Table1[[#This Row],[Gross Cost]]/Table1[[#This Row],[Viewable Impressions]],0)</f>
        <v>1323.7150608715701</v>
      </c>
      <c r="U151" s="10"/>
    </row>
    <row r="152" spans="1:21" x14ac:dyDescent="0.2">
      <c r="A152" t="s">
        <v>82</v>
      </c>
      <c r="B152" t="s">
        <v>14</v>
      </c>
      <c r="C152" t="s">
        <v>41</v>
      </c>
      <c r="D152" t="s">
        <v>83</v>
      </c>
      <c r="E152" t="str">
        <f>TRIM(RIGHT(Table1[[#This Row],[Location]],LEN(Table1[[#This Row],[Location]])-FIND(",",Table1[[#This Row],[Location]])))</f>
        <v>Florida</v>
      </c>
      <c r="F152" t="s">
        <v>81</v>
      </c>
      <c r="G152" t="s">
        <v>18</v>
      </c>
      <c r="H152" t="s">
        <v>26</v>
      </c>
      <c r="I152">
        <v>8716</v>
      </c>
      <c r="J152">
        <v>40</v>
      </c>
      <c r="K152">
        <v>6490</v>
      </c>
      <c r="L152">
        <v>7862</v>
      </c>
      <c r="M152">
        <v>2</v>
      </c>
      <c r="N152">
        <v>2100.8201370000002</v>
      </c>
      <c r="O152" s="7">
        <f>IFERROR(Table1[[#This Row],[Clicks]]/Table1[[#This Row],[Impressions]],0)</f>
        <v>4.589261128958238E-3</v>
      </c>
      <c r="P152" s="5">
        <f>IFERROR(Table1[[#This Row],[Total Conversions]]/Table1[[#This Row],[Clicks]],0)</f>
        <v>0.05</v>
      </c>
      <c r="Q152" s="10">
        <f>IFERROR(Table1[[#This Row],[Gross Cost]]/Table1[[#This Row],[Total Conversions]],0)</f>
        <v>1050.4100685000001</v>
      </c>
      <c r="R152" s="10">
        <f>IFERROR(Table1[[#This Row],[Gross Cost]]/(Table1[[#This Row],[Impressions]]/1000),0)</f>
        <v>241.03030484167053</v>
      </c>
      <c r="S152" s="5">
        <f>IFERROR(Table1[[#This Row],[Viewable Impressions]]/Table1[[#This Row],[Measurable Impressions]],0)</f>
        <v>0.82548969727804633</v>
      </c>
      <c r="T152" s="10">
        <f>IFERROR(1000*Table1[[#This Row],[Gross Cost]]/Table1[[#This Row],[Viewable Impressions]],0)</f>
        <v>323.70109969183363</v>
      </c>
      <c r="U152" s="10"/>
    </row>
    <row r="153" spans="1:21" x14ac:dyDescent="0.2">
      <c r="A153" t="s">
        <v>37</v>
      </c>
      <c r="B153" t="s">
        <v>21</v>
      </c>
      <c r="C153" t="s">
        <v>15</v>
      </c>
      <c r="D153" t="s">
        <v>38</v>
      </c>
      <c r="E153" t="str">
        <f>TRIM(RIGHT(Table1[[#This Row],[Location]],LEN(Table1[[#This Row],[Location]])-FIND(",",Table1[[#This Row],[Location]])))</f>
        <v>Tennessee</v>
      </c>
      <c r="F153" t="s">
        <v>24</v>
      </c>
      <c r="G153" t="s">
        <v>25</v>
      </c>
      <c r="H153" t="s">
        <v>26</v>
      </c>
      <c r="I153">
        <v>23965</v>
      </c>
      <c r="J153">
        <v>270</v>
      </c>
      <c r="K153">
        <v>13608</v>
      </c>
      <c r="L153">
        <v>21704</v>
      </c>
      <c r="M153">
        <v>12</v>
      </c>
      <c r="N153">
        <v>5706.8644169999998</v>
      </c>
      <c r="O153" s="7">
        <f>IFERROR(Table1[[#This Row],[Clicks]]/Table1[[#This Row],[Impressions]],0)</f>
        <v>1.1266430210723972E-2</v>
      </c>
      <c r="P153" s="5">
        <f>IFERROR(Table1[[#This Row],[Total Conversions]]/Table1[[#This Row],[Clicks]],0)</f>
        <v>4.4444444444444446E-2</v>
      </c>
      <c r="Q153" s="10">
        <f>IFERROR(Table1[[#This Row],[Gross Cost]]/Table1[[#This Row],[Total Conversions]],0)</f>
        <v>475.57203475</v>
      </c>
      <c r="R153" s="10">
        <f>IFERROR(Table1[[#This Row],[Gross Cost]]/(Table1[[#This Row],[Impressions]]/1000),0)</f>
        <v>238.13329509701649</v>
      </c>
      <c r="S153" s="5">
        <f>IFERROR(Table1[[#This Row],[Viewable Impressions]]/Table1[[#This Row],[Measurable Impressions]],0)</f>
        <v>0.62698120162182092</v>
      </c>
      <c r="T153" s="10">
        <f>IFERROR(1000*Table1[[#This Row],[Gross Cost]]/Table1[[#This Row],[Viewable Impressions]],0)</f>
        <v>419.37569201940033</v>
      </c>
      <c r="U153" s="10"/>
    </row>
    <row r="154" spans="1:21" x14ac:dyDescent="0.2">
      <c r="A154" t="s">
        <v>837</v>
      </c>
      <c r="B154" t="s">
        <v>14</v>
      </c>
      <c r="C154" t="s">
        <v>41</v>
      </c>
      <c r="D154" t="s">
        <v>16</v>
      </c>
      <c r="E154" t="str">
        <f>TRIM(RIGHT(Table1[[#This Row],[Location]],LEN(Table1[[#This Row],[Location]])-FIND(",",Table1[[#This Row],[Location]])))</f>
        <v>California</v>
      </c>
      <c r="F154" t="s">
        <v>838</v>
      </c>
      <c r="G154" t="s">
        <v>18</v>
      </c>
      <c r="H154" t="s">
        <v>19</v>
      </c>
      <c r="I154">
        <v>28888</v>
      </c>
      <c r="J154">
        <v>85</v>
      </c>
      <c r="K154">
        <v>21437</v>
      </c>
      <c r="L154">
        <v>27586</v>
      </c>
      <c r="M154">
        <v>19</v>
      </c>
      <c r="N154">
        <v>6858.5781180000004</v>
      </c>
      <c r="O154" s="7">
        <f>IFERROR(Table1[[#This Row],[Clicks]]/Table1[[#This Row],[Impressions]],0)</f>
        <v>2.9423982276377734E-3</v>
      </c>
      <c r="P154" s="5">
        <f>IFERROR(Table1[[#This Row],[Total Conversions]]/Table1[[#This Row],[Clicks]],0)</f>
        <v>0.22352941176470589</v>
      </c>
      <c r="Q154" s="10">
        <f>IFERROR(Table1[[#This Row],[Gross Cost]]/Table1[[#This Row],[Total Conversions]],0)</f>
        <v>360.97779568421055</v>
      </c>
      <c r="R154" s="10">
        <f>IFERROR(Table1[[#This Row],[Gross Cost]]/(Table1[[#This Row],[Impressions]]/1000),0)</f>
        <v>237.41962468845196</v>
      </c>
      <c r="S154" s="5">
        <f>IFERROR(Table1[[#This Row],[Viewable Impressions]]/Table1[[#This Row],[Measurable Impressions]],0)</f>
        <v>0.77709707822808671</v>
      </c>
      <c r="T154" s="10">
        <f>IFERROR(1000*Table1[[#This Row],[Gross Cost]]/Table1[[#This Row],[Viewable Impressions]],0)</f>
        <v>319.94113532677153</v>
      </c>
      <c r="U154" s="10"/>
    </row>
    <row r="155" spans="1:21" x14ac:dyDescent="0.2">
      <c r="A155" t="s">
        <v>259</v>
      </c>
      <c r="B155" t="s">
        <v>21</v>
      </c>
      <c r="C155" t="s">
        <v>41</v>
      </c>
      <c r="D155" t="s">
        <v>77</v>
      </c>
      <c r="E155" t="str">
        <f>TRIM(RIGHT(Table1[[#This Row],[Location]],LEN(Table1[[#This Row],[Location]])-FIND(",",Table1[[#This Row],[Location]])))</f>
        <v>New York</v>
      </c>
      <c r="F155" t="s">
        <v>260</v>
      </c>
      <c r="G155" t="s">
        <v>47</v>
      </c>
      <c r="H155" t="s">
        <v>26</v>
      </c>
      <c r="I155">
        <v>25532</v>
      </c>
      <c r="J155">
        <v>140</v>
      </c>
      <c r="K155">
        <v>15219</v>
      </c>
      <c r="L155">
        <v>21497</v>
      </c>
      <c r="M155">
        <v>9</v>
      </c>
      <c r="N155">
        <v>6047.1741089999996</v>
      </c>
      <c r="O155" s="7">
        <f>IFERROR(Table1[[#This Row],[Clicks]]/Table1[[#This Row],[Impressions]],0)</f>
        <v>5.4833150556164809E-3</v>
      </c>
      <c r="P155" s="5">
        <f>IFERROR(Table1[[#This Row],[Total Conversions]]/Table1[[#This Row],[Clicks]],0)</f>
        <v>6.4285714285714279E-2</v>
      </c>
      <c r="Q155" s="10">
        <f>IFERROR(Table1[[#This Row],[Gross Cost]]/Table1[[#This Row],[Total Conversions]],0)</f>
        <v>671.90823433333333</v>
      </c>
      <c r="R155" s="10">
        <f>IFERROR(Table1[[#This Row],[Gross Cost]]/(Table1[[#This Row],[Impressions]]/1000),0)</f>
        <v>236.84686311295627</v>
      </c>
      <c r="S155" s="5">
        <f>IFERROR(Table1[[#This Row],[Viewable Impressions]]/Table1[[#This Row],[Measurable Impressions]],0)</f>
        <v>0.70795925012792482</v>
      </c>
      <c r="T155" s="10">
        <f>IFERROR(1000*Table1[[#This Row],[Gross Cost]]/Table1[[#This Row],[Viewable Impressions]],0)</f>
        <v>397.34372225507582</v>
      </c>
      <c r="U155" s="10"/>
    </row>
    <row r="156" spans="1:21" x14ac:dyDescent="0.2">
      <c r="A156" t="s">
        <v>587</v>
      </c>
      <c r="B156" t="s">
        <v>21</v>
      </c>
      <c r="C156" t="s">
        <v>41</v>
      </c>
      <c r="D156" t="s">
        <v>54</v>
      </c>
      <c r="E156" t="str">
        <f>TRIM(RIGHT(Table1[[#This Row],[Location]],LEN(Table1[[#This Row],[Location]])-FIND(",",Table1[[#This Row],[Location]])))</f>
        <v>Florida</v>
      </c>
      <c r="F156" t="s">
        <v>586</v>
      </c>
      <c r="G156" t="s">
        <v>32</v>
      </c>
      <c r="H156" t="s">
        <v>26</v>
      </c>
      <c r="I156">
        <v>7320</v>
      </c>
      <c r="J156">
        <v>33</v>
      </c>
      <c r="K156">
        <v>4020</v>
      </c>
      <c r="L156">
        <v>6692</v>
      </c>
      <c r="M156">
        <v>15</v>
      </c>
      <c r="N156">
        <v>1730.37357</v>
      </c>
      <c r="O156" s="7">
        <f>IFERROR(Table1[[#This Row],[Clicks]]/Table1[[#This Row],[Impressions]],0)</f>
        <v>4.5081967213114757E-3</v>
      </c>
      <c r="P156" s="5">
        <f>IFERROR(Table1[[#This Row],[Total Conversions]]/Table1[[#This Row],[Clicks]],0)</f>
        <v>0.45454545454545453</v>
      </c>
      <c r="Q156" s="10">
        <f>IFERROR(Table1[[#This Row],[Gross Cost]]/Table1[[#This Row],[Total Conversions]],0)</f>
        <v>115.358238</v>
      </c>
      <c r="R156" s="10">
        <f>IFERROR(Table1[[#This Row],[Gross Cost]]/(Table1[[#This Row],[Impressions]]/1000),0)</f>
        <v>236.3898319672131</v>
      </c>
      <c r="S156" s="5">
        <f>IFERROR(Table1[[#This Row],[Viewable Impressions]]/Table1[[#This Row],[Measurable Impressions]],0)</f>
        <v>0.60071727435744171</v>
      </c>
      <c r="T156" s="10">
        <f>IFERROR(1000*Table1[[#This Row],[Gross Cost]]/Table1[[#This Row],[Viewable Impressions]],0)</f>
        <v>430.44118656716421</v>
      </c>
      <c r="U156" s="10"/>
    </row>
    <row r="157" spans="1:21" x14ac:dyDescent="0.2">
      <c r="A157" t="s">
        <v>460</v>
      </c>
      <c r="B157" t="s">
        <v>14</v>
      </c>
      <c r="C157" t="s">
        <v>15</v>
      </c>
      <c r="D157" t="s">
        <v>77</v>
      </c>
      <c r="E157" t="str">
        <f>TRIM(RIGHT(Table1[[#This Row],[Location]],LEN(Table1[[#This Row],[Location]])-FIND(",",Table1[[#This Row],[Location]])))</f>
        <v>New York</v>
      </c>
      <c r="F157" t="s">
        <v>461</v>
      </c>
      <c r="G157" t="s">
        <v>45</v>
      </c>
      <c r="H157" t="s">
        <v>26</v>
      </c>
      <c r="I157">
        <v>7356</v>
      </c>
      <c r="J157">
        <v>10</v>
      </c>
      <c r="K157">
        <v>1588</v>
      </c>
      <c r="L157">
        <v>7088</v>
      </c>
      <c r="M157">
        <v>1</v>
      </c>
      <c r="N157">
        <v>1730.37357</v>
      </c>
      <c r="O157" s="7">
        <f>IFERROR(Table1[[#This Row],[Clicks]]/Table1[[#This Row],[Impressions]],0)</f>
        <v>1.3594344752582926E-3</v>
      </c>
      <c r="P157" s="5">
        <f>IFERROR(Table1[[#This Row],[Total Conversions]]/Table1[[#This Row],[Clicks]],0)</f>
        <v>0.1</v>
      </c>
      <c r="Q157" s="10">
        <f>IFERROR(Table1[[#This Row],[Gross Cost]]/Table1[[#This Row],[Total Conversions]],0)</f>
        <v>1730.37357</v>
      </c>
      <c r="R157" s="10">
        <f>IFERROR(Table1[[#This Row],[Gross Cost]]/(Table1[[#This Row],[Impressions]]/1000),0)</f>
        <v>235.23294861337683</v>
      </c>
      <c r="S157" s="5">
        <f>IFERROR(Table1[[#This Row],[Viewable Impressions]]/Table1[[#This Row],[Measurable Impressions]],0)</f>
        <v>0.22404063205417607</v>
      </c>
      <c r="T157" s="10">
        <f>IFERROR(1000*Table1[[#This Row],[Gross Cost]]/Table1[[#This Row],[Viewable Impressions]],0)</f>
        <v>1089.6559005037784</v>
      </c>
      <c r="U157" s="10"/>
    </row>
    <row r="158" spans="1:21" x14ac:dyDescent="0.2">
      <c r="A158" t="s">
        <v>641</v>
      </c>
      <c r="B158" t="s">
        <v>14</v>
      </c>
      <c r="C158" t="s">
        <v>30</v>
      </c>
      <c r="D158" t="s">
        <v>83</v>
      </c>
      <c r="E158" t="str">
        <f>TRIM(RIGHT(Table1[[#This Row],[Location]],LEN(Table1[[#This Row],[Location]])-FIND(",",Table1[[#This Row],[Location]])))</f>
        <v>Florida</v>
      </c>
      <c r="F158" t="s">
        <v>642</v>
      </c>
      <c r="G158" t="s">
        <v>18</v>
      </c>
      <c r="H158" t="s">
        <v>19</v>
      </c>
      <c r="I158">
        <v>7470</v>
      </c>
      <c r="J158">
        <v>0</v>
      </c>
      <c r="K158">
        <v>6753</v>
      </c>
      <c r="L158">
        <v>7229</v>
      </c>
      <c r="M158">
        <v>1</v>
      </c>
      <c r="N158">
        <v>1738.9952820000001</v>
      </c>
      <c r="O158" s="7">
        <f>IFERROR(Table1[[#This Row],[Clicks]]/Table1[[#This Row],[Impressions]],0)</f>
        <v>0</v>
      </c>
      <c r="P158" s="5">
        <f>IFERROR(Table1[[#This Row],[Total Conversions]]/Table1[[#This Row],[Clicks]],0)</f>
        <v>0</v>
      </c>
      <c r="Q158" s="10">
        <f>IFERROR(Table1[[#This Row],[Gross Cost]]/Table1[[#This Row],[Total Conversions]],0)</f>
        <v>1738.9952820000001</v>
      </c>
      <c r="R158" s="10">
        <f>IFERROR(Table1[[#This Row],[Gross Cost]]/(Table1[[#This Row],[Impressions]]/1000),0)</f>
        <v>232.79722650602412</v>
      </c>
      <c r="S158" s="5">
        <f>IFERROR(Table1[[#This Row],[Viewable Impressions]]/Table1[[#This Row],[Measurable Impressions]],0)</f>
        <v>0.93415410153548206</v>
      </c>
      <c r="T158" s="10">
        <f>IFERROR(1000*Table1[[#This Row],[Gross Cost]]/Table1[[#This Row],[Viewable Impressions]],0)</f>
        <v>257.51447978676146</v>
      </c>
      <c r="U158" s="10"/>
    </row>
    <row r="159" spans="1:21" x14ac:dyDescent="0.2">
      <c r="A159" t="s">
        <v>249</v>
      </c>
      <c r="B159" t="s">
        <v>21</v>
      </c>
      <c r="C159" t="s">
        <v>41</v>
      </c>
      <c r="D159" t="s">
        <v>34</v>
      </c>
      <c r="E159" t="str">
        <f>TRIM(RIGHT(Table1[[#This Row],[Location]],LEN(Table1[[#This Row],[Location]])-FIND(",",Table1[[#This Row],[Location]])))</f>
        <v>Illinois</v>
      </c>
      <c r="F159" t="s">
        <v>250</v>
      </c>
      <c r="G159" t="s">
        <v>18</v>
      </c>
      <c r="H159" t="s">
        <v>26</v>
      </c>
      <c r="I159">
        <v>10191</v>
      </c>
      <c r="J159">
        <v>75</v>
      </c>
      <c r="K159">
        <v>1243</v>
      </c>
      <c r="L159">
        <v>8897</v>
      </c>
      <c r="M159">
        <v>3</v>
      </c>
      <c r="N159">
        <v>2365.9143720000002</v>
      </c>
      <c r="O159" s="7">
        <f>IFERROR(Table1[[#This Row],[Clicks]]/Table1[[#This Row],[Impressions]],0)</f>
        <v>7.3594347954077126E-3</v>
      </c>
      <c r="P159" s="5">
        <f>IFERROR(Table1[[#This Row],[Total Conversions]]/Table1[[#This Row],[Clicks]],0)</f>
        <v>0.04</v>
      </c>
      <c r="Q159" s="10">
        <f>IFERROR(Table1[[#This Row],[Gross Cost]]/Table1[[#This Row],[Total Conversions]],0)</f>
        <v>788.63812400000006</v>
      </c>
      <c r="R159" s="10">
        <f>IFERROR(Table1[[#This Row],[Gross Cost]]/(Table1[[#This Row],[Impressions]]/1000),0)</f>
        <v>232.1572340300265</v>
      </c>
      <c r="S159" s="5">
        <f>IFERROR(Table1[[#This Row],[Viewable Impressions]]/Table1[[#This Row],[Measurable Impressions]],0)</f>
        <v>0.13971001461166685</v>
      </c>
      <c r="T159" s="10">
        <f>IFERROR(1000*Table1[[#This Row],[Gross Cost]]/Table1[[#This Row],[Viewable Impressions]],0)</f>
        <v>1903.3904843121479</v>
      </c>
      <c r="U159" s="10"/>
    </row>
    <row r="160" spans="1:21" x14ac:dyDescent="0.2">
      <c r="A160" t="s">
        <v>76</v>
      </c>
      <c r="B160" t="s">
        <v>14</v>
      </c>
      <c r="C160" t="s">
        <v>30</v>
      </c>
      <c r="D160" t="s">
        <v>77</v>
      </c>
      <c r="E160" t="str">
        <f>TRIM(RIGHT(Table1[[#This Row],[Location]],LEN(Table1[[#This Row],[Location]])-FIND(",",Table1[[#This Row],[Location]])))</f>
        <v>New York</v>
      </c>
      <c r="F160" t="s">
        <v>78</v>
      </c>
      <c r="G160" t="s">
        <v>79</v>
      </c>
      <c r="H160" t="s">
        <v>19</v>
      </c>
      <c r="I160">
        <v>11668</v>
      </c>
      <c r="J160">
        <v>110</v>
      </c>
      <c r="K160">
        <v>7860</v>
      </c>
      <c r="L160">
        <v>11009</v>
      </c>
      <c r="M160">
        <v>5</v>
      </c>
      <c r="N160">
        <v>2653.9815789999998</v>
      </c>
      <c r="O160" s="7">
        <f>IFERROR(Table1[[#This Row],[Clicks]]/Table1[[#This Row],[Impressions]],0)</f>
        <v>9.4274940006856354E-3</v>
      </c>
      <c r="P160" s="5">
        <f>IFERROR(Table1[[#This Row],[Total Conversions]]/Table1[[#This Row],[Clicks]],0)</f>
        <v>4.5454545454545456E-2</v>
      </c>
      <c r="Q160" s="10">
        <f>IFERROR(Table1[[#This Row],[Gross Cost]]/Table1[[#This Row],[Total Conversions]],0)</f>
        <v>530.7963158</v>
      </c>
      <c r="R160" s="10">
        <f>IFERROR(Table1[[#This Row],[Gross Cost]]/(Table1[[#This Row],[Impressions]]/1000),0)</f>
        <v>227.45814012684264</v>
      </c>
      <c r="S160" s="5">
        <f>IFERROR(Table1[[#This Row],[Viewable Impressions]]/Table1[[#This Row],[Measurable Impressions]],0)</f>
        <v>0.71396130438731942</v>
      </c>
      <c r="T160" s="10">
        <f>IFERROR(1000*Table1[[#This Row],[Gross Cost]]/Table1[[#This Row],[Viewable Impressions]],0)</f>
        <v>337.65668944020354</v>
      </c>
      <c r="U160" s="10"/>
    </row>
    <row r="161" spans="1:21" x14ac:dyDescent="0.2">
      <c r="A161" t="s">
        <v>557</v>
      </c>
      <c r="B161" t="s">
        <v>14</v>
      </c>
      <c r="C161" t="s">
        <v>15</v>
      </c>
      <c r="D161" t="s">
        <v>77</v>
      </c>
      <c r="E161" t="str">
        <f>TRIM(RIGHT(Table1[[#This Row],[Location]],LEN(Table1[[#This Row],[Location]])-FIND(",",Table1[[#This Row],[Location]])))</f>
        <v>New York</v>
      </c>
      <c r="F161" t="s">
        <v>538</v>
      </c>
      <c r="G161" t="s">
        <v>45</v>
      </c>
      <c r="H161" t="s">
        <v>26</v>
      </c>
      <c r="I161">
        <v>7540</v>
      </c>
      <c r="J161">
        <v>10</v>
      </c>
      <c r="K161">
        <v>1475</v>
      </c>
      <c r="L161">
        <v>2054</v>
      </c>
      <c r="M161">
        <v>1</v>
      </c>
      <c r="N161">
        <v>1713.978863</v>
      </c>
      <c r="O161" s="7">
        <f>IFERROR(Table1[[#This Row],[Clicks]]/Table1[[#This Row],[Impressions]],0)</f>
        <v>1.3262599469496021E-3</v>
      </c>
      <c r="P161" s="5">
        <f>IFERROR(Table1[[#This Row],[Total Conversions]]/Table1[[#This Row],[Clicks]],0)</f>
        <v>0.1</v>
      </c>
      <c r="Q161" s="10">
        <f>IFERROR(Table1[[#This Row],[Gross Cost]]/Table1[[#This Row],[Total Conversions]],0)</f>
        <v>1713.978863</v>
      </c>
      <c r="R161" s="10">
        <f>IFERROR(Table1[[#This Row],[Gross Cost]]/(Table1[[#This Row],[Impressions]]/1000),0)</f>
        <v>227.31815159151193</v>
      </c>
      <c r="S161" s="5">
        <f>IFERROR(Table1[[#This Row],[Viewable Impressions]]/Table1[[#This Row],[Measurable Impressions]],0)</f>
        <v>0.7181110029211295</v>
      </c>
      <c r="T161" s="10">
        <f>IFERROR(1000*Table1[[#This Row],[Gross Cost]]/Table1[[#This Row],[Viewable Impressions]],0)</f>
        <v>1162.0195681355933</v>
      </c>
      <c r="U161" s="10"/>
    </row>
    <row r="162" spans="1:21" x14ac:dyDescent="0.2">
      <c r="A162" t="s">
        <v>682</v>
      </c>
      <c r="B162" t="s">
        <v>21</v>
      </c>
      <c r="C162" t="s">
        <v>41</v>
      </c>
      <c r="D162" t="s">
        <v>77</v>
      </c>
      <c r="E162" t="str">
        <f>TRIM(RIGHT(Table1[[#This Row],[Location]],LEN(Table1[[#This Row],[Location]])-FIND(",",Table1[[#This Row],[Location]])))</f>
        <v>New York</v>
      </c>
      <c r="F162" t="s">
        <v>683</v>
      </c>
      <c r="G162" t="s">
        <v>25</v>
      </c>
      <c r="H162" t="s">
        <v>26</v>
      </c>
      <c r="I162">
        <v>15588</v>
      </c>
      <c r="J162">
        <v>80</v>
      </c>
      <c r="K162">
        <v>2089</v>
      </c>
      <c r="L162">
        <v>14526</v>
      </c>
      <c r="M162">
        <v>9</v>
      </c>
      <c r="N162">
        <v>3518.5334819999998</v>
      </c>
      <c r="O162" s="7">
        <f>IFERROR(Table1[[#This Row],[Clicks]]/Table1[[#This Row],[Impressions]],0)</f>
        <v>5.1321529381575569E-3</v>
      </c>
      <c r="P162" s="5">
        <f>IFERROR(Table1[[#This Row],[Total Conversions]]/Table1[[#This Row],[Clicks]],0)</f>
        <v>0.1125</v>
      </c>
      <c r="Q162" s="10">
        <f>IFERROR(Table1[[#This Row],[Gross Cost]]/Table1[[#This Row],[Total Conversions]],0)</f>
        <v>390.94816466666663</v>
      </c>
      <c r="R162" s="10">
        <f>IFERROR(Table1[[#This Row],[Gross Cost]]/(Table1[[#This Row],[Impressions]]/1000),0)</f>
        <v>225.72064934565051</v>
      </c>
      <c r="S162" s="5">
        <f>IFERROR(Table1[[#This Row],[Viewable Impressions]]/Table1[[#This Row],[Measurable Impressions]],0)</f>
        <v>0.14381109734269584</v>
      </c>
      <c r="T162" s="10">
        <f>IFERROR(1000*Table1[[#This Row],[Gross Cost]]/Table1[[#This Row],[Viewable Impressions]],0)</f>
        <v>1684.3147352800381</v>
      </c>
      <c r="U162" s="10"/>
    </row>
    <row r="163" spans="1:21" x14ac:dyDescent="0.2">
      <c r="A163" t="s">
        <v>287</v>
      </c>
      <c r="B163" t="s">
        <v>21</v>
      </c>
      <c r="C163" t="s">
        <v>15</v>
      </c>
      <c r="D163" t="s">
        <v>77</v>
      </c>
      <c r="E163" t="str">
        <f>TRIM(RIGHT(Table1[[#This Row],[Location]],LEN(Table1[[#This Row],[Location]])-FIND(",",Table1[[#This Row],[Location]])))</f>
        <v>New York</v>
      </c>
      <c r="F163" t="s">
        <v>288</v>
      </c>
      <c r="G163" t="s">
        <v>32</v>
      </c>
      <c r="H163" t="s">
        <v>26</v>
      </c>
      <c r="I163">
        <v>18022</v>
      </c>
      <c r="J163">
        <v>30</v>
      </c>
      <c r="K163">
        <v>10618</v>
      </c>
      <c r="L163">
        <v>16643</v>
      </c>
      <c r="M163">
        <v>15</v>
      </c>
      <c r="N163">
        <v>4051.1587490000002</v>
      </c>
      <c r="O163" s="7">
        <f>IFERROR(Table1[[#This Row],[Clicks]]/Table1[[#This Row],[Impressions]],0)</f>
        <v>1.6646321163022971E-3</v>
      </c>
      <c r="P163" s="5">
        <f>IFERROR(Table1[[#This Row],[Total Conversions]]/Table1[[#This Row],[Clicks]],0)</f>
        <v>0.5</v>
      </c>
      <c r="Q163" s="10">
        <f>IFERROR(Table1[[#This Row],[Gross Cost]]/Table1[[#This Row],[Total Conversions]],0)</f>
        <v>270.07724993333335</v>
      </c>
      <c r="R163" s="10">
        <f>IFERROR(Table1[[#This Row],[Gross Cost]]/(Table1[[#This Row],[Impressions]]/1000),0)</f>
        <v>224.7896320608146</v>
      </c>
      <c r="S163" s="5">
        <f>IFERROR(Table1[[#This Row],[Viewable Impressions]]/Table1[[#This Row],[Measurable Impressions]],0)</f>
        <v>0.63798594003484954</v>
      </c>
      <c r="T163" s="10">
        <f>IFERROR(1000*Table1[[#This Row],[Gross Cost]]/Table1[[#This Row],[Viewable Impressions]],0)</f>
        <v>381.53689480128088</v>
      </c>
      <c r="U163" s="10"/>
    </row>
    <row r="164" spans="1:21" x14ac:dyDescent="0.2">
      <c r="A164" t="s">
        <v>527</v>
      </c>
      <c r="B164" t="s">
        <v>21</v>
      </c>
      <c r="C164" t="s">
        <v>15</v>
      </c>
      <c r="D164" t="s">
        <v>239</v>
      </c>
      <c r="E164" t="str">
        <f>TRIM(RIGHT(Table1[[#This Row],[Location]],LEN(Table1[[#This Row],[Location]])-FIND(",",Table1[[#This Row],[Location]])))</f>
        <v>Tennessee</v>
      </c>
      <c r="F164" t="s">
        <v>517</v>
      </c>
      <c r="G164" t="s">
        <v>35</v>
      </c>
      <c r="H164" t="s">
        <v>26</v>
      </c>
      <c r="I164">
        <v>15399</v>
      </c>
      <c r="J164">
        <v>35</v>
      </c>
      <c r="K164">
        <v>3398</v>
      </c>
      <c r="L164">
        <v>4324</v>
      </c>
      <c r="M164">
        <v>3</v>
      </c>
      <c r="N164">
        <v>3434.7311530000002</v>
      </c>
      <c r="O164" s="7">
        <f>IFERROR(Table1[[#This Row],[Clicks]]/Table1[[#This Row],[Impressions]],0)</f>
        <v>2.2728748620040261E-3</v>
      </c>
      <c r="P164" s="5">
        <f>IFERROR(Table1[[#This Row],[Total Conversions]]/Table1[[#This Row],[Clicks]],0)</f>
        <v>8.5714285714285715E-2</v>
      </c>
      <c r="Q164" s="10">
        <f>IFERROR(Table1[[#This Row],[Gross Cost]]/Table1[[#This Row],[Total Conversions]],0)</f>
        <v>1144.9103843333335</v>
      </c>
      <c r="R164" s="10">
        <f>IFERROR(Table1[[#This Row],[Gross Cost]]/(Table1[[#This Row],[Impressions]]/1000),0)</f>
        <v>223.04897415416588</v>
      </c>
      <c r="S164" s="5">
        <f>IFERROR(Table1[[#This Row],[Viewable Impressions]]/Table1[[#This Row],[Measurable Impressions]],0)</f>
        <v>0.78584643848288627</v>
      </c>
      <c r="T164" s="10">
        <f>IFERROR(1000*Table1[[#This Row],[Gross Cost]]/Table1[[#This Row],[Viewable Impressions]],0)</f>
        <v>1010.8096389052384</v>
      </c>
      <c r="U164" s="10"/>
    </row>
    <row r="165" spans="1:21" x14ac:dyDescent="0.2">
      <c r="A165" t="s">
        <v>809</v>
      </c>
      <c r="B165" t="s">
        <v>14</v>
      </c>
      <c r="C165" t="s">
        <v>22</v>
      </c>
      <c r="D165" t="s">
        <v>16</v>
      </c>
      <c r="E165" t="str">
        <f>TRIM(RIGHT(Table1[[#This Row],[Location]],LEN(Table1[[#This Row],[Location]])-FIND(",",Table1[[#This Row],[Location]])))</f>
        <v>California</v>
      </c>
      <c r="F165" t="s">
        <v>808</v>
      </c>
      <c r="G165" t="s">
        <v>160</v>
      </c>
      <c r="H165" t="s">
        <v>26</v>
      </c>
      <c r="I165">
        <v>8437</v>
      </c>
      <c r="J165">
        <v>63</v>
      </c>
      <c r="K165">
        <v>5271</v>
      </c>
      <c r="L165">
        <v>7065</v>
      </c>
      <c r="M165">
        <v>2</v>
      </c>
      <c r="N165">
        <v>1880.5331679999999</v>
      </c>
      <c r="O165" s="7">
        <f>IFERROR(Table1[[#This Row],[Clicks]]/Table1[[#This Row],[Impressions]],0)</f>
        <v>7.467109162024416E-3</v>
      </c>
      <c r="P165" s="5">
        <f>IFERROR(Table1[[#This Row],[Total Conversions]]/Table1[[#This Row],[Clicks]],0)</f>
        <v>3.1746031746031744E-2</v>
      </c>
      <c r="Q165" s="10">
        <f>IFERROR(Table1[[#This Row],[Gross Cost]]/Table1[[#This Row],[Total Conversions]],0)</f>
        <v>940.26658399999997</v>
      </c>
      <c r="R165" s="10">
        <f>IFERROR(Table1[[#This Row],[Gross Cost]]/(Table1[[#This Row],[Impressions]]/1000),0)</f>
        <v>222.89121346450162</v>
      </c>
      <c r="S165" s="5">
        <f>IFERROR(Table1[[#This Row],[Viewable Impressions]]/Table1[[#This Row],[Measurable Impressions]],0)</f>
        <v>0.74607218683651799</v>
      </c>
      <c r="T165" s="10">
        <f>IFERROR(1000*Table1[[#This Row],[Gross Cost]]/Table1[[#This Row],[Viewable Impressions]],0)</f>
        <v>356.76971504458356</v>
      </c>
      <c r="U165" s="10"/>
    </row>
    <row r="166" spans="1:21" x14ac:dyDescent="0.2">
      <c r="A166" t="s">
        <v>781</v>
      </c>
      <c r="B166" t="s">
        <v>21</v>
      </c>
      <c r="C166" t="s">
        <v>22</v>
      </c>
      <c r="D166" t="s">
        <v>77</v>
      </c>
      <c r="E166" t="str">
        <f>TRIM(RIGHT(Table1[[#This Row],[Location]],LEN(Table1[[#This Row],[Location]])-FIND(",",Table1[[#This Row],[Location]])))</f>
        <v>New York</v>
      </c>
      <c r="F166" t="s">
        <v>780</v>
      </c>
      <c r="G166" t="s">
        <v>18</v>
      </c>
      <c r="H166" t="s">
        <v>26</v>
      </c>
      <c r="I166">
        <v>25835</v>
      </c>
      <c r="J166">
        <v>69</v>
      </c>
      <c r="K166">
        <v>3753</v>
      </c>
      <c r="L166">
        <v>20808</v>
      </c>
      <c r="M166">
        <v>11</v>
      </c>
      <c r="N166">
        <v>5751.9122969999999</v>
      </c>
      <c r="O166" s="7">
        <f>IFERROR(Table1[[#This Row],[Clicks]]/Table1[[#This Row],[Impressions]],0)</f>
        <v>2.6707954325527385E-3</v>
      </c>
      <c r="P166" s="5">
        <f>IFERROR(Table1[[#This Row],[Total Conversions]]/Table1[[#This Row],[Clicks]],0)</f>
        <v>0.15942028985507245</v>
      </c>
      <c r="Q166" s="10">
        <f>IFERROR(Table1[[#This Row],[Gross Cost]]/Table1[[#This Row],[Total Conversions]],0)</f>
        <v>522.90111790909089</v>
      </c>
      <c r="R166" s="10">
        <f>IFERROR(Table1[[#This Row],[Gross Cost]]/(Table1[[#This Row],[Impressions]]/1000),0)</f>
        <v>222.64030567060189</v>
      </c>
      <c r="S166" s="5">
        <f>IFERROR(Table1[[#This Row],[Viewable Impressions]]/Table1[[#This Row],[Measurable Impressions]],0)</f>
        <v>0.18036332179930795</v>
      </c>
      <c r="T166" s="10">
        <f>IFERROR(1000*Table1[[#This Row],[Gross Cost]]/Table1[[#This Row],[Viewable Impressions]],0)</f>
        <v>1532.6171854516388</v>
      </c>
      <c r="U166" s="10"/>
    </row>
    <row r="167" spans="1:21" x14ac:dyDescent="0.2">
      <c r="A167" t="s">
        <v>352</v>
      </c>
      <c r="B167" t="s">
        <v>60</v>
      </c>
      <c r="C167" t="s">
        <v>41</v>
      </c>
      <c r="D167" t="s">
        <v>303</v>
      </c>
      <c r="E167" t="str">
        <f>TRIM(RIGHT(Table1[[#This Row],[Location]],LEN(Table1[[#This Row],[Location]])-FIND(",",Table1[[#This Row],[Location]])))</f>
        <v>Georgia</v>
      </c>
      <c r="F167" t="s">
        <v>351</v>
      </c>
      <c r="G167" t="s">
        <v>18</v>
      </c>
      <c r="H167" t="s">
        <v>26</v>
      </c>
      <c r="I167">
        <v>7394</v>
      </c>
      <c r="J167">
        <v>20</v>
      </c>
      <c r="K167">
        <v>3441</v>
      </c>
      <c r="L167">
        <v>6663</v>
      </c>
      <c r="M167">
        <v>1</v>
      </c>
      <c r="N167">
        <v>1624.840774</v>
      </c>
      <c r="O167" s="7">
        <f>IFERROR(Table1[[#This Row],[Clicks]]/Table1[[#This Row],[Impressions]],0)</f>
        <v>2.7048958615093319E-3</v>
      </c>
      <c r="P167" s="5">
        <f>IFERROR(Table1[[#This Row],[Total Conversions]]/Table1[[#This Row],[Clicks]],0)</f>
        <v>0.05</v>
      </c>
      <c r="Q167" s="10">
        <f>IFERROR(Table1[[#This Row],[Gross Cost]]/Table1[[#This Row],[Total Conversions]],0)</f>
        <v>1624.840774</v>
      </c>
      <c r="R167" s="10">
        <f>IFERROR(Table1[[#This Row],[Gross Cost]]/(Table1[[#This Row],[Impressions]]/1000),0)</f>
        <v>219.75125426021097</v>
      </c>
      <c r="S167" s="5">
        <f>IFERROR(Table1[[#This Row],[Viewable Impressions]]/Table1[[#This Row],[Measurable Impressions]],0)</f>
        <v>0.51643403872129667</v>
      </c>
      <c r="T167" s="10">
        <f>IFERROR(1000*Table1[[#This Row],[Gross Cost]]/Table1[[#This Row],[Viewable Impressions]],0)</f>
        <v>472.20016681197325</v>
      </c>
      <c r="U167" s="10"/>
    </row>
    <row r="168" spans="1:21" x14ac:dyDescent="0.2">
      <c r="A168" t="s">
        <v>436</v>
      </c>
      <c r="B168" t="s">
        <v>21</v>
      </c>
      <c r="C168" t="s">
        <v>15</v>
      </c>
      <c r="D168" t="s">
        <v>83</v>
      </c>
      <c r="E168" t="str">
        <f>TRIM(RIGHT(Table1[[#This Row],[Location]],LEN(Table1[[#This Row],[Location]])-FIND(",",Table1[[#This Row],[Location]])))</f>
        <v>Florida</v>
      </c>
      <c r="F168" t="s">
        <v>433</v>
      </c>
      <c r="G168" t="s">
        <v>116</v>
      </c>
      <c r="H168" t="s">
        <v>26</v>
      </c>
      <c r="I168">
        <v>13293</v>
      </c>
      <c r="J168">
        <v>74</v>
      </c>
      <c r="K168">
        <v>9054</v>
      </c>
      <c r="L168">
        <v>12676</v>
      </c>
      <c r="M168">
        <v>5</v>
      </c>
      <c r="N168">
        <v>2901.2095089999998</v>
      </c>
      <c r="O168" s="7">
        <f>IFERROR(Table1[[#This Row],[Clicks]]/Table1[[#This Row],[Impressions]],0)</f>
        <v>5.5668396900624391E-3</v>
      </c>
      <c r="P168" s="5">
        <f>IFERROR(Table1[[#This Row],[Total Conversions]]/Table1[[#This Row],[Clicks]],0)</f>
        <v>6.7567567567567571E-2</v>
      </c>
      <c r="Q168" s="10">
        <f>IFERROR(Table1[[#This Row],[Gross Cost]]/Table1[[#This Row],[Total Conversions]],0)</f>
        <v>580.24190179999994</v>
      </c>
      <c r="R168" s="10">
        <f>IFERROR(Table1[[#This Row],[Gross Cost]]/(Table1[[#This Row],[Impressions]]/1000),0)</f>
        <v>218.25092221469947</v>
      </c>
      <c r="S168" s="5">
        <f>IFERROR(Table1[[#This Row],[Viewable Impressions]]/Table1[[#This Row],[Measurable Impressions]],0)</f>
        <v>0.71426317450299781</v>
      </c>
      <c r="T168" s="10">
        <f>IFERROR(1000*Table1[[#This Row],[Gross Cost]]/Table1[[#This Row],[Viewable Impressions]],0)</f>
        <v>320.43400806273468</v>
      </c>
      <c r="U168" s="10"/>
    </row>
    <row r="169" spans="1:21" x14ac:dyDescent="0.2">
      <c r="A169" t="s">
        <v>519</v>
      </c>
      <c r="B169" t="s">
        <v>14</v>
      </c>
      <c r="C169" t="s">
        <v>22</v>
      </c>
      <c r="D169" t="s">
        <v>31</v>
      </c>
      <c r="E169" t="str">
        <f>TRIM(RIGHT(Table1[[#This Row],[Location]],LEN(Table1[[#This Row],[Location]])-FIND(",",Table1[[#This Row],[Location]])))</f>
        <v>Michigan</v>
      </c>
      <c r="F169" t="s">
        <v>517</v>
      </c>
      <c r="G169" t="s">
        <v>135</v>
      </c>
      <c r="H169" t="s">
        <v>51</v>
      </c>
      <c r="I169">
        <v>30460</v>
      </c>
      <c r="J169">
        <v>95</v>
      </c>
      <c r="K169">
        <v>21830</v>
      </c>
      <c r="L169">
        <v>27750</v>
      </c>
      <c r="M169">
        <v>25</v>
      </c>
      <c r="N169">
        <v>6643.9665420000001</v>
      </c>
      <c r="O169" s="7">
        <f>IFERROR(Table1[[#This Row],[Clicks]]/Table1[[#This Row],[Impressions]],0)</f>
        <v>3.1188443860801049E-3</v>
      </c>
      <c r="P169" s="5">
        <f>IFERROR(Table1[[#This Row],[Total Conversions]]/Table1[[#This Row],[Clicks]],0)</f>
        <v>0.26315789473684209</v>
      </c>
      <c r="Q169" s="10">
        <f>IFERROR(Table1[[#This Row],[Gross Cost]]/Table1[[#This Row],[Total Conversions]],0)</f>
        <v>265.75866167999999</v>
      </c>
      <c r="R169" s="10">
        <f>IFERROR(Table1[[#This Row],[Gross Cost]]/(Table1[[#This Row],[Impressions]]/1000),0)</f>
        <v>218.12102895600788</v>
      </c>
      <c r="S169" s="5">
        <f>IFERROR(Table1[[#This Row],[Viewable Impressions]]/Table1[[#This Row],[Measurable Impressions]],0)</f>
        <v>0.78666666666666663</v>
      </c>
      <c r="T169" s="10">
        <f>IFERROR(1000*Table1[[#This Row],[Gross Cost]]/Table1[[#This Row],[Viewable Impressions]],0)</f>
        <v>304.3502767750802</v>
      </c>
      <c r="U169" s="10"/>
    </row>
    <row r="170" spans="1:21" x14ac:dyDescent="0.2">
      <c r="A170" t="s">
        <v>803</v>
      </c>
      <c r="B170" t="s">
        <v>14</v>
      </c>
      <c r="C170" t="s">
        <v>22</v>
      </c>
      <c r="D170" t="s">
        <v>182</v>
      </c>
      <c r="E170" t="str">
        <f>TRIM(RIGHT(Table1[[#This Row],[Location]],LEN(Table1[[#This Row],[Location]])-FIND(",",Table1[[#This Row],[Location]])))</f>
        <v>Tennessee</v>
      </c>
      <c r="F170" t="s">
        <v>804</v>
      </c>
      <c r="G170" t="s">
        <v>18</v>
      </c>
      <c r="H170" t="s">
        <v>26</v>
      </c>
      <c r="I170">
        <v>10485</v>
      </c>
      <c r="J170">
        <v>84</v>
      </c>
      <c r="K170">
        <v>4255</v>
      </c>
      <c r="L170">
        <v>7669</v>
      </c>
      <c r="M170">
        <v>2</v>
      </c>
      <c r="N170">
        <v>2239.262819</v>
      </c>
      <c r="O170" s="7">
        <f>IFERROR(Table1[[#This Row],[Clicks]]/Table1[[#This Row],[Impressions]],0)</f>
        <v>8.0114449213161652E-3</v>
      </c>
      <c r="P170" s="5">
        <f>IFERROR(Table1[[#This Row],[Total Conversions]]/Table1[[#This Row],[Clicks]],0)</f>
        <v>2.3809523809523808E-2</v>
      </c>
      <c r="Q170" s="10">
        <f>IFERROR(Table1[[#This Row],[Gross Cost]]/Table1[[#This Row],[Total Conversions]],0)</f>
        <v>1119.6314095</v>
      </c>
      <c r="R170" s="10">
        <f>IFERROR(Table1[[#This Row],[Gross Cost]]/(Table1[[#This Row],[Impressions]]/1000),0)</f>
        <v>213.56822308059134</v>
      </c>
      <c r="S170" s="5">
        <f>IFERROR(Table1[[#This Row],[Viewable Impressions]]/Table1[[#This Row],[Measurable Impressions]],0)</f>
        <v>0.55483113834919806</v>
      </c>
      <c r="T170" s="10">
        <f>IFERROR(1000*Table1[[#This Row],[Gross Cost]]/Table1[[#This Row],[Viewable Impressions]],0)</f>
        <v>526.2662324324325</v>
      </c>
      <c r="U170" s="10"/>
    </row>
    <row r="171" spans="1:21" x14ac:dyDescent="0.2">
      <c r="A171" t="s">
        <v>584</v>
      </c>
      <c r="B171" t="s">
        <v>14</v>
      </c>
      <c r="C171" t="s">
        <v>22</v>
      </c>
      <c r="D171" t="s">
        <v>38</v>
      </c>
      <c r="E171" t="str">
        <f>TRIM(RIGHT(Table1[[#This Row],[Location]],LEN(Table1[[#This Row],[Location]])-FIND(",",Table1[[#This Row],[Location]])))</f>
        <v>Tennessee</v>
      </c>
      <c r="F171" t="s">
        <v>583</v>
      </c>
      <c r="G171" t="s">
        <v>45</v>
      </c>
      <c r="H171" t="s">
        <v>26</v>
      </c>
      <c r="I171">
        <v>7402</v>
      </c>
      <c r="J171">
        <v>9</v>
      </c>
      <c r="K171">
        <v>3860</v>
      </c>
      <c r="L171">
        <v>6406</v>
      </c>
      <c r="M171">
        <v>1</v>
      </c>
      <c r="N171">
        <v>1560.449936</v>
      </c>
      <c r="O171" s="7">
        <f>IFERROR(Table1[[#This Row],[Clicks]]/Table1[[#This Row],[Impressions]],0)</f>
        <v>1.215887597946501E-3</v>
      </c>
      <c r="P171" s="5">
        <f>IFERROR(Table1[[#This Row],[Total Conversions]]/Table1[[#This Row],[Clicks]],0)</f>
        <v>0.1111111111111111</v>
      </c>
      <c r="Q171" s="10">
        <f>IFERROR(Table1[[#This Row],[Gross Cost]]/Table1[[#This Row],[Total Conversions]],0)</f>
        <v>1560.449936</v>
      </c>
      <c r="R171" s="10">
        <f>IFERROR(Table1[[#This Row],[Gross Cost]]/(Table1[[#This Row],[Impressions]]/1000),0)</f>
        <v>210.81463604431235</v>
      </c>
      <c r="S171" s="5">
        <f>IFERROR(Table1[[#This Row],[Viewable Impressions]]/Table1[[#This Row],[Measurable Impressions]],0)</f>
        <v>0.60256009990633785</v>
      </c>
      <c r="T171" s="10">
        <f>IFERROR(1000*Table1[[#This Row],[Gross Cost]]/Table1[[#This Row],[Viewable Impressions]],0)</f>
        <v>404.26164145077718</v>
      </c>
      <c r="U171" s="10"/>
    </row>
    <row r="172" spans="1:21" x14ac:dyDescent="0.2">
      <c r="A172" t="s">
        <v>511</v>
      </c>
      <c r="B172" t="s">
        <v>21</v>
      </c>
      <c r="C172" t="s">
        <v>15</v>
      </c>
      <c r="D172" t="s">
        <v>28</v>
      </c>
      <c r="E172" t="str">
        <f>TRIM(RIGHT(Table1[[#This Row],[Location]],LEN(Table1[[#This Row],[Location]])-FIND(",",Table1[[#This Row],[Location]])))</f>
        <v>California</v>
      </c>
      <c r="F172" t="s">
        <v>510</v>
      </c>
      <c r="G172" t="s">
        <v>18</v>
      </c>
      <c r="H172" t="s">
        <v>26</v>
      </c>
      <c r="I172">
        <v>9059</v>
      </c>
      <c r="J172">
        <v>22</v>
      </c>
      <c r="K172">
        <v>589</v>
      </c>
      <c r="L172">
        <v>7480</v>
      </c>
      <c r="M172">
        <v>4</v>
      </c>
      <c r="N172">
        <v>1908.5261170000001</v>
      </c>
      <c r="O172" s="7">
        <f>IFERROR(Table1[[#This Row],[Clicks]]/Table1[[#This Row],[Impressions]],0)</f>
        <v>2.4285241196600068E-3</v>
      </c>
      <c r="P172" s="5">
        <f>IFERROR(Table1[[#This Row],[Total Conversions]]/Table1[[#This Row],[Clicks]],0)</f>
        <v>0.18181818181818182</v>
      </c>
      <c r="Q172" s="10">
        <f>IFERROR(Table1[[#This Row],[Gross Cost]]/Table1[[#This Row],[Total Conversions]],0)</f>
        <v>477.13152925000003</v>
      </c>
      <c r="R172" s="10">
        <f>IFERROR(Table1[[#This Row],[Gross Cost]]/(Table1[[#This Row],[Impressions]]/1000),0)</f>
        <v>210.67735036979801</v>
      </c>
      <c r="S172" s="5">
        <f>IFERROR(Table1[[#This Row],[Viewable Impressions]]/Table1[[#This Row],[Measurable Impressions]],0)</f>
        <v>7.8743315508021397E-2</v>
      </c>
      <c r="T172" s="10">
        <f>IFERROR(1000*Table1[[#This Row],[Gross Cost]]/Table1[[#This Row],[Viewable Impressions]],0)</f>
        <v>3240.2820322580646</v>
      </c>
      <c r="U172" s="10"/>
    </row>
    <row r="173" spans="1:21" x14ac:dyDescent="0.2">
      <c r="A173" t="s">
        <v>411</v>
      </c>
      <c r="B173" t="s">
        <v>14</v>
      </c>
      <c r="C173" t="s">
        <v>41</v>
      </c>
      <c r="D173" t="s">
        <v>38</v>
      </c>
      <c r="E173" t="str">
        <f>TRIM(RIGHT(Table1[[#This Row],[Location]],LEN(Table1[[#This Row],[Location]])-FIND(",",Table1[[#This Row],[Location]])))</f>
        <v>Tennessee</v>
      </c>
      <c r="F173" t="s">
        <v>409</v>
      </c>
      <c r="G173" t="s">
        <v>45</v>
      </c>
      <c r="H173" t="s">
        <v>19</v>
      </c>
      <c r="I173">
        <v>29323</v>
      </c>
      <c r="J173">
        <v>88</v>
      </c>
      <c r="K173">
        <v>13822</v>
      </c>
      <c r="L173">
        <v>26934</v>
      </c>
      <c r="M173">
        <v>9</v>
      </c>
      <c r="N173">
        <v>6096.045521</v>
      </c>
      <c r="O173" s="7">
        <f>IFERROR(Table1[[#This Row],[Clicks]]/Table1[[#This Row],[Impressions]],0)</f>
        <v>3.0010571906012346E-3</v>
      </c>
      <c r="P173" s="5">
        <f>IFERROR(Table1[[#This Row],[Total Conversions]]/Table1[[#This Row],[Clicks]],0)</f>
        <v>0.10227272727272728</v>
      </c>
      <c r="Q173" s="10">
        <f>IFERROR(Table1[[#This Row],[Gross Cost]]/Table1[[#This Row],[Total Conversions]],0)</f>
        <v>677.33839122222219</v>
      </c>
      <c r="R173" s="10">
        <f>IFERROR(Table1[[#This Row],[Gross Cost]]/(Table1[[#This Row],[Impressions]]/1000),0)</f>
        <v>207.89296869351702</v>
      </c>
      <c r="S173" s="5">
        <f>IFERROR(Table1[[#This Row],[Viewable Impressions]]/Table1[[#This Row],[Measurable Impressions]],0)</f>
        <v>0.51318036682260337</v>
      </c>
      <c r="T173" s="10">
        <f>IFERROR(1000*Table1[[#This Row],[Gross Cost]]/Table1[[#This Row],[Viewable Impressions]],0)</f>
        <v>441.03932289104324</v>
      </c>
      <c r="U173" s="10"/>
    </row>
    <row r="174" spans="1:21" x14ac:dyDescent="0.2">
      <c r="A174" t="s">
        <v>1034</v>
      </c>
      <c r="B174" t="s">
        <v>21</v>
      </c>
      <c r="C174" t="s">
        <v>30</v>
      </c>
      <c r="D174" t="s">
        <v>149</v>
      </c>
      <c r="E174" t="str">
        <f>TRIM(RIGHT(Table1[[#This Row],[Location]],LEN(Table1[[#This Row],[Location]])-FIND(",",Table1[[#This Row],[Location]])))</f>
        <v>Indiana</v>
      </c>
      <c r="F174" t="s">
        <v>1031</v>
      </c>
      <c r="G174" t="s">
        <v>25</v>
      </c>
      <c r="H174" t="s">
        <v>26</v>
      </c>
      <c r="I174">
        <v>14181</v>
      </c>
      <c r="J174">
        <v>65</v>
      </c>
      <c r="K174">
        <v>7106</v>
      </c>
      <c r="L174">
        <v>13189</v>
      </c>
      <c r="M174">
        <v>17</v>
      </c>
      <c r="N174">
        <v>2912.4671560000002</v>
      </c>
      <c r="O174" s="7">
        <f>IFERROR(Table1[[#This Row],[Clicks]]/Table1[[#This Row],[Impressions]],0)</f>
        <v>4.5835977716663142E-3</v>
      </c>
      <c r="P174" s="5">
        <f>IFERROR(Table1[[#This Row],[Total Conversions]]/Table1[[#This Row],[Clicks]],0)</f>
        <v>0.26153846153846155</v>
      </c>
      <c r="Q174" s="10">
        <f>IFERROR(Table1[[#This Row],[Gross Cost]]/Table1[[#This Row],[Total Conversions]],0)</f>
        <v>171.32159741176471</v>
      </c>
      <c r="R174" s="10">
        <f>IFERROR(Table1[[#This Row],[Gross Cost]]/(Table1[[#This Row],[Impressions]]/1000),0)</f>
        <v>205.37812255835274</v>
      </c>
      <c r="S174" s="5">
        <f>IFERROR(Table1[[#This Row],[Viewable Impressions]]/Table1[[#This Row],[Measurable Impressions]],0)</f>
        <v>0.53878231859883241</v>
      </c>
      <c r="T174" s="10">
        <f>IFERROR(1000*Table1[[#This Row],[Gross Cost]]/Table1[[#This Row],[Viewable Impressions]],0)</f>
        <v>409.86028088938923</v>
      </c>
      <c r="U174" s="10"/>
    </row>
    <row r="175" spans="1:21" x14ac:dyDescent="0.2">
      <c r="A175" t="s">
        <v>171</v>
      </c>
      <c r="B175" t="s">
        <v>21</v>
      </c>
      <c r="C175" t="s">
        <v>41</v>
      </c>
      <c r="D175" t="s">
        <v>172</v>
      </c>
      <c r="E175" t="str">
        <f>TRIM(RIGHT(Table1[[#This Row],[Location]],LEN(Table1[[#This Row],[Location]])-FIND(",",Table1[[#This Row],[Location]])))</f>
        <v>Tennessee</v>
      </c>
      <c r="F175" t="s">
        <v>169</v>
      </c>
      <c r="G175" t="s">
        <v>18</v>
      </c>
      <c r="H175" t="s">
        <v>26</v>
      </c>
      <c r="I175">
        <v>29251</v>
      </c>
      <c r="J175">
        <v>95</v>
      </c>
      <c r="K175">
        <v>25060</v>
      </c>
      <c r="L175">
        <v>28038</v>
      </c>
      <c r="M175">
        <v>8</v>
      </c>
      <c r="N175">
        <v>5994.7468339999996</v>
      </c>
      <c r="O175" s="7">
        <f>IFERROR(Table1[[#This Row],[Clicks]]/Table1[[#This Row],[Impressions]],0)</f>
        <v>3.2477522135995352E-3</v>
      </c>
      <c r="P175" s="5">
        <f>IFERROR(Table1[[#This Row],[Total Conversions]]/Table1[[#This Row],[Clicks]],0)</f>
        <v>8.4210526315789472E-2</v>
      </c>
      <c r="Q175" s="10">
        <f>IFERROR(Table1[[#This Row],[Gross Cost]]/Table1[[#This Row],[Total Conversions]],0)</f>
        <v>749.34335424999995</v>
      </c>
      <c r="R175" s="10">
        <f>IFERROR(Table1[[#This Row],[Gross Cost]]/(Table1[[#This Row],[Impressions]]/1000),0)</f>
        <v>204.94160315886634</v>
      </c>
      <c r="S175" s="5">
        <f>IFERROR(Table1[[#This Row],[Viewable Impressions]]/Table1[[#This Row],[Measurable Impressions]],0)</f>
        <v>0.89378700335259287</v>
      </c>
      <c r="T175" s="10">
        <f>IFERROR(1000*Table1[[#This Row],[Gross Cost]]/Table1[[#This Row],[Viewable Impressions]],0)</f>
        <v>239.21575554668794</v>
      </c>
      <c r="U175" s="10"/>
    </row>
    <row r="176" spans="1:21" x14ac:dyDescent="0.2">
      <c r="A176" t="s">
        <v>687</v>
      </c>
      <c r="B176" t="s">
        <v>21</v>
      </c>
      <c r="C176" t="s">
        <v>30</v>
      </c>
      <c r="D176" t="s">
        <v>34</v>
      </c>
      <c r="E176" t="str">
        <f>TRIM(RIGHT(Table1[[#This Row],[Location]],LEN(Table1[[#This Row],[Location]])-FIND(",",Table1[[#This Row],[Location]])))</f>
        <v>Illinois</v>
      </c>
      <c r="F176" t="s">
        <v>685</v>
      </c>
      <c r="G176" t="s">
        <v>18</v>
      </c>
      <c r="H176" t="s">
        <v>26</v>
      </c>
      <c r="I176">
        <v>25377</v>
      </c>
      <c r="J176">
        <v>101</v>
      </c>
      <c r="K176">
        <v>16698</v>
      </c>
      <c r="L176">
        <v>23798</v>
      </c>
      <c r="M176">
        <v>2</v>
      </c>
      <c r="N176">
        <v>5175.1429189999999</v>
      </c>
      <c r="O176" s="7">
        <f>IFERROR(Table1[[#This Row],[Clicks]]/Table1[[#This Row],[Impressions]],0)</f>
        <v>3.9799818733498834E-3</v>
      </c>
      <c r="P176" s="5">
        <f>IFERROR(Table1[[#This Row],[Total Conversions]]/Table1[[#This Row],[Clicks]],0)</f>
        <v>1.9801980198019802E-2</v>
      </c>
      <c r="Q176" s="10">
        <f>IFERROR(Table1[[#This Row],[Gross Cost]]/Table1[[#This Row],[Total Conversions]],0)</f>
        <v>2587.5714594999999</v>
      </c>
      <c r="R176" s="10">
        <f>IFERROR(Table1[[#This Row],[Gross Cost]]/(Table1[[#This Row],[Impressions]]/1000),0)</f>
        <v>203.93044563975255</v>
      </c>
      <c r="S176" s="5">
        <f>IFERROR(Table1[[#This Row],[Viewable Impressions]]/Table1[[#This Row],[Measurable Impressions]],0)</f>
        <v>0.70165560131103455</v>
      </c>
      <c r="T176" s="10">
        <f>IFERROR(1000*Table1[[#This Row],[Gross Cost]]/Table1[[#This Row],[Viewable Impressions]],0)</f>
        <v>309.92591442088872</v>
      </c>
      <c r="U176" s="10"/>
    </row>
    <row r="177" spans="1:21" x14ac:dyDescent="0.2">
      <c r="A177" t="s">
        <v>582</v>
      </c>
      <c r="B177" t="s">
        <v>21</v>
      </c>
      <c r="C177" t="s">
        <v>22</v>
      </c>
      <c r="D177" t="s">
        <v>28</v>
      </c>
      <c r="E177" t="str">
        <f>TRIM(RIGHT(Table1[[#This Row],[Location]],LEN(Table1[[#This Row],[Location]])-FIND(",",Table1[[#This Row],[Location]])))</f>
        <v>California</v>
      </c>
      <c r="F177" t="s">
        <v>583</v>
      </c>
      <c r="G177" t="s">
        <v>18</v>
      </c>
      <c r="H177" t="s">
        <v>26</v>
      </c>
      <c r="I177">
        <v>18771</v>
      </c>
      <c r="J177">
        <v>69</v>
      </c>
      <c r="K177">
        <v>10871</v>
      </c>
      <c r="L177">
        <v>17138</v>
      </c>
      <c r="M177">
        <v>6</v>
      </c>
      <c r="N177">
        <v>3827.3663809999998</v>
      </c>
      <c r="O177" s="7">
        <f>IFERROR(Table1[[#This Row],[Clicks]]/Table1[[#This Row],[Impressions]],0)</f>
        <v>3.6758830110276489E-3</v>
      </c>
      <c r="P177" s="5">
        <f>IFERROR(Table1[[#This Row],[Total Conversions]]/Table1[[#This Row],[Clicks]],0)</f>
        <v>8.6956521739130432E-2</v>
      </c>
      <c r="Q177" s="10">
        <f>IFERROR(Table1[[#This Row],[Gross Cost]]/Table1[[#This Row],[Total Conversions]],0)</f>
        <v>637.8943968333333</v>
      </c>
      <c r="R177" s="10">
        <f>IFERROR(Table1[[#This Row],[Gross Cost]]/(Table1[[#This Row],[Impressions]]/1000),0)</f>
        <v>203.89784140429384</v>
      </c>
      <c r="S177" s="5">
        <f>IFERROR(Table1[[#This Row],[Viewable Impressions]]/Table1[[#This Row],[Measurable Impressions]],0)</f>
        <v>0.63432139106080054</v>
      </c>
      <c r="T177" s="10">
        <f>IFERROR(1000*Table1[[#This Row],[Gross Cost]]/Table1[[#This Row],[Viewable Impressions]],0)</f>
        <v>352.07123364915833</v>
      </c>
      <c r="U177" s="10"/>
    </row>
    <row r="178" spans="1:21" x14ac:dyDescent="0.2">
      <c r="A178" t="s">
        <v>273</v>
      </c>
      <c r="B178" t="s">
        <v>14</v>
      </c>
      <c r="C178" t="s">
        <v>30</v>
      </c>
      <c r="D178" t="s">
        <v>65</v>
      </c>
      <c r="E178" t="str">
        <f>TRIM(RIGHT(Table1[[#This Row],[Location]],LEN(Table1[[#This Row],[Location]])-FIND(",",Table1[[#This Row],[Location]])))</f>
        <v>Florida</v>
      </c>
      <c r="F178" t="s">
        <v>270</v>
      </c>
      <c r="G178" t="s">
        <v>18</v>
      </c>
      <c r="H178" t="s">
        <v>26</v>
      </c>
      <c r="I178">
        <v>7427</v>
      </c>
      <c r="J178">
        <v>0</v>
      </c>
      <c r="K178">
        <v>4752</v>
      </c>
      <c r="L178">
        <v>6566</v>
      </c>
      <c r="M178">
        <v>1</v>
      </c>
      <c r="N178">
        <v>1504.784161</v>
      </c>
      <c r="O178" s="7">
        <f>IFERROR(Table1[[#This Row],[Clicks]]/Table1[[#This Row],[Impressions]],0)</f>
        <v>0</v>
      </c>
      <c r="P178" s="5">
        <f>IFERROR(Table1[[#This Row],[Total Conversions]]/Table1[[#This Row],[Clicks]],0)</f>
        <v>0</v>
      </c>
      <c r="Q178" s="10">
        <f>IFERROR(Table1[[#This Row],[Gross Cost]]/Table1[[#This Row],[Total Conversions]],0)</f>
        <v>1504.784161</v>
      </c>
      <c r="R178" s="10">
        <f>IFERROR(Table1[[#This Row],[Gross Cost]]/(Table1[[#This Row],[Impressions]]/1000),0)</f>
        <v>202.60995839504511</v>
      </c>
      <c r="S178" s="5">
        <f>IFERROR(Table1[[#This Row],[Viewable Impressions]]/Table1[[#This Row],[Measurable Impressions]],0)</f>
        <v>0.72372829728906485</v>
      </c>
      <c r="T178" s="10">
        <f>IFERROR(1000*Table1[[#This Row],[Gross Cost]]/Table1[[#This Row],[Viewable Impressions]],0)</f>
        <v>316.66333354377105</v>
      </c>
      <c r="U178" s="10"/>
    </row>
    <row r="179" spans="1:21" x14ac:dyDescent="0.2">
      <c r="A179" t="s">
        <v>622</v>
      </c>
      <c r="B179" t="s">
        <v>14</v>
      </c>
      <c r="C179" t="s">
        <v>22</v>
      </c>
      <c r="D179" t="s">
        <v>34</v>
      </c>
      <c r="E179" t="str">
        <f>TRIM(RIGHT(Table1[[#This Row],[Location]],LEN(Table1[[#This Row],[Location]])-FIND(",",Table1[[#This Row],[Location]])))</f>
        <v>Illinois</v>
      </c>
      <c r="F179" t="s">
        <v>611</v>
      </c>
      <c r="G179" t="s">
        <v>18</v>
      </c>
      <c r="H179" t="s">
        <v>19</v>
      </c>
      <c r="I179">
        <v>29834</v>
      </c>
      <c r="J179">
        <v>99</v>
      </c>
      <c r="K179">
        <v>14599</v>
      </c>
      <c r="L179">
        <v>24656</v>
      </c>
      <c r="M179">
        <v>14</v>
      </c>
      <c r="N179">
        <v>6032.8371139999999</v>
      </c>
      <c r="O179" s="7">
        <f>IFERROR(Table1[[#This Row],[Clicks]]/Table1[[#This Row],[Impressions]],0)</f>
        <v>3.3183616008580813E-3</v>
      </c>
      <c r="P179" s="5">
        <f>IFERROR(Table1[[#This Row],[Total Conversions]]/Table1[[#This Row],[Clicks]],0)</f>
        <v>0.14141414141414141</v>
      </c>
      <c r="Q179" s="10">
        <f>IFERROR(Table1[[#This Row],[Gross Cost]]/Table1[[#This Row],[Total Conversions]],0)</f>
        <v>430.91693671428573</v>
      </c>
      <c r="R179" s="10">
        <f>IFERROR(Table1[[#This Row],[Gross Cost]]/(Table1[[#This Row],[Impressions]]/1000),0)</f>
        <v>202.2134850841322</v>
      </c>
      <c r="S179" s="5">
        <f>IFERROR(Table1[[#This Row],[Viewable Impressions]]/Table1[[#This Row],[Measurable Impressions]],0)</f>
        <v>0.59210739779364052</v>
      </c>
      <c r="T179" s="10">
        <f>IFERROR(1000*Table1[[#This Row],[Gross Cost]]/Table1[[#This Row],[Viewable Impressions]],0)</f>
        <v>413.236325364751</v>
      </c>
      <c r="U179" s="10"/>
    </row>
    <row r="180" spans="1:21" x14ac:dyDescent="0.2">
      <c r="A180" t="s">
        <v>752</v>
      </c>
      <c r="B180" t="s">
        <v>14</v>
      </c>
      <c r="C180" t="s">
        <v>15</v>
      </c>
      <c r="D180" t="s">
        <v>355</v>
      </c>
      <c r="E180" t="str">
        <f>TRIM(RIGHT(Table1[[#This Row],[Location]],LEN(Table1[[#This Row],[Location]])-FIND(",",Table1[[#This Row],[Location]])))</f>
        <v>Illinois</v>
      </c>
      <c r="F180" t="s">
        <v>742</v>
      </c>
      <c r="G180" t="s">
        <v>18</v>
      </c>
      <c r="H180" t="s">
        <v>26</v>
      </c>
      <c r="I180">
        <v>15449</v>
      </c>
      <c r="J180">
        <v>50</v>
      </c>
      <c r="K180">
        <v>4595</v>
      </c>
      <c r="L180">
        <v>13765</v>
      </c>
      <c r="M180">
        <v>1</v>
      </c>
      <c r="N180">
        <v>3122.9425740000001</v>
      </c>
      <c r="O180" s="7">
        <f>IFERROR(Table1[[#This Row],[Clicks]]/Table1[[#This Row],[Impressions]],0)</f>
        <v>3.2364554340086737E-3</v>
      </c>
      <c r="P180" s="5">
        <f>IFERROR(Table1[[#This Row],[Total Conversions]]/Table1[[#This Row],[Clicks]],0)</f>
        <v>0.02</v>
      </c>
      <c r="Q180" s="10">
        <f>IFERROR(Table1[[#This Row],[Gross Cost]]/Table1[[#This Row],[Total Conversions]],0)</f>
        <v>3122.9425740000001</v>
      </c>
      <c r="R180" s="10">
        <f>IFERROR(Table1[[#This Row],[Gross Cost]]/(Table1[[#This Row],[Impressions]]/1000),0)</f>
        <v>202.1452892743867</v>
      </c>
      <c r="S180" s="5">
        <f>IFERROR(Table1[[#This Row],[Viewable Impressions]]/Table1[[#This Row],[Measurable Impressions]],0)</f>
        <v>0.33381765346894299</v>
      </c>
      <c r="T180" s="10">
        <f>IFERROR(1000*Table1[[#This Row],[Gross Cost]]/Table1[[#This Row],[Viewable Impressions]],0)</f>
        <v>679.63929793253533</v>
      </c>
      <c r="U180" s="10"/>
    </row>
    <row r="181" spans="1:21" x14ac:dyDescent="0.2">
      <c r="A181" t="s">
        <v>928</v>
      </c>
      <c r="B181" t="s">
        <v>14</v>
      </c>
      <c r="C181" t="s">
        <v>41</v>
      </c>
      <c r="D181" t="s">
        <v>34</v>
      </c>
      <c r="E181" t="str">
        <f>TRIM(RIGHT(Table1[[#This Row],[Location]],LEN(Table1[[#This Row],[Location]])-FIND(",",Table1[[#This Row],[Location]])))</f>
        <v>Illinois</v>
      </c>
      <c r="F181" t="s">
        <v>918</v>
      </c>
      <c r="G181" t="s">
        <v>25</v>
      </c>
      <c r="H181" t="s">
        <v>51</v>
      </c>
      <c r="I181">
        <v>26439</v>
      </c>
      <c r="J181">
        <v>95</v>
      </c>
      <c r="K181">
        <v>7093</v>
      </c>
      <c r="L181">
        <v>19681</v>
      </c>
      <c r="M181">
        <v>7</v>
      </c>
      <c r="N181">
        <v>5330.7819689999997</v>
      </c>
      <c r="O181" s="7">
        <f>IFERROR(Table1[[#This Row],[Clicks]]/Table1[[#This Row],[Impressions]],0)</f>
        <v>3.5931767464730132E-3</v>
      </c>
      <c r="P181" s="5">
        <f>IFERROR(Table1[[#This Row],[Total Conversions]]/Table1[[#This Row],[Clicks]],0)</f>
        <v>7.3684210526315783E-2</v>
      </c>
      <c r="Q181" s="10">
        <f>IFERROR(Table1[[#This Row],[Gross Cost]]/Table1[[#This Row],[Total Conversions]],0)</f>
        <v>761.54028128571429</v>
      </c>
      <c r="R181" s="10">
        <f>IFERROR(Table1[[#This Row],[Gross Cost]]/(Table1[[#This Row],[Impressions]]/1000),0)</f>
        <v>201.62570327924655</v>
      </c>
      <c r="S181" s="5">
        <f>IFERROR(Table1[[#This Row],[Viewable Impressions]]/Table1[[#This Row],[Measurable Impressions]],0)</f>
        <v>0.36039835374218787</v>
      </c>
      <c r="T181" s="10">
        <f>IFERROR(1000*Table1[[#This Row],[Gross Cost]]/Table1[[#This Row],[Viewable Impressions]],0)</f>
        <v>751.55533187649792</v>
      </c>
      <c r="U181" s="10"/>
    </row>
    <row r="182" spans="1:21" x14ac:dyDescent="0.2">
      <c r="A182" t="s">
        <v>181</v>
      </c>
      <c r="B182" t="s">
        <v>14</v>
      </c>
      <c r="C182" t="s">
        <v>30</v>
      </c>
      <c r="D182" t="s">
        <v>182</v>
      </c>
      <c r="E182" t="str">
        <f>TRIM(RIGHT(Table1[[#This Row],[Location]],LEN(Table1[[#This Row],[Location]])-FIND(",",Table1[[#This Row],[Location]])))</f>
        <v>Tennessee</v>
      </c>
      <c r="F182" t="s">
        <v>177</v>
      </c>
      <c r="G182" t="s">
        <v>183</v>
      </c>
      <c r="H182" t="s">
        <v>26</v>
      </c>
      <c r="I182">
        <v>7409</v>
      </c>
      <c r="J182">
        <v>10</v>
      </c>
      <c r="K182">
        <v>5009</v>
      </c>
      <c r="L182">
        <v>7160</v>
      </c>
      <c r="M182">
        <v>12</v>
      </c>
      <c r="N182">
        <v>1472.110115</v>
      </c>
      <c r="O182" s="7">
        <f>IFERROR(Table1[[#This Row],[Clicks]]/Table1[[#This Row],[Impressions]],0)</f>
        <v>1.3497098123903361E-3</v>
      </c>
      <c r="P182" s="5">
        <f>IFERROR(Table1[[#This Row],[Total Conversions]]/Table1[[#This Row],[Clicks]],0)</f>
        <v>1.2</v>
      </c>
      <c r="Q182" s="10">
        <f>IFERROR(Table1[[#This Row],[Gross Cost]]/Table1[[#This Row],[Total Conversions]],0)</f>
        <v>122.67584291666667</v>
      </c>
      <c r="R182" s="10">
        <f>IFERROR(Table1[[#This Row],[Gross Cost]]/(Table1[[#This Row],[Impressions]]/1000),0)</f>
        <v>198.69214671345659</v>
      </c>
      <c r="S182" s="5">
        <f>IFERROR(Table1[[#This Row],[Viewable Impressions]]/Table1[[#This Row],[Measurable Impressions]],0)</f>
        <v>0.6995810055865922</v>
      </c>
      <c r="T182" s="10">
        <f>IFERROR(1000*Table1[[#This Row],[Gross Cost]]/Table1[[#This Row],[Viewable Impressions]],0)</f>
        <v>293.89301557197047</v>
      </c>
      <c r="U182" s="10"/>
    </row>
    <row r="183" spans="1:21" x14ac:dyDescent="0.2">
      <c r="A183" t="s">
        <v>376</v>
      </c>
      <c r="B183" t="s">
        <v>14</v>
      </c>
      <c r="C183" t="s">
        <v>30</v>
      </c>
      <c r="D183" t="s">
        <v>16</v>
      </c>
      <c r="E183" t="str">
        <f>TRIM(RIGHT(Table1[[#This Row],[Location]],LEN(Table1[[#This Row],[Location]])-FIND(",",Table1[[#This Row],[Location]])))</f>
        <v>California</v>
      </c>
      <c r="F183" t="s">
        <v>377</v>
      </c>
      <c r="G183" t="s">
        <v>45</v>
      </c>
      <c r="H183" t="s">
        <v>51</v>
      </c>
      <c r="I183">
        <v>25021</v>
      </c>
      <c r="J183">
        <v>50</v>
      </c>
      <c r="K183">
        <v>11084</v>
      </c>
      <c r="L183">
        <v>18079</v>
      </c>
      <c r="M183">
        <v>9</v>
      </c>
      <c r="N183">
        <v>4961.4788840000001</v>
      </c>
      <c r="O183" s="7">
        <f>IFERROR(Table1[[#This Row],[Clicks]]/Table1[[#This Row],[Impressions]],0)</f>
        <v>1.998321410015587E-3</v>
      </c>
      <c r="P183" s="5">
        <f>IFERROR(Table1[[#This Row],[Total Conversions]]/Table1[[#This Row],[Clicks]],0)</f>
        <v>0.18</v>
      </c>
      <c r="Q183" s="10">
        <f>IFERROR(Table1[[#This Row],[Gross Cost]]/Table1[[#This Row],[Total Conversions]],0)</f>
        <v>551.27543155555554</v>
      </c>
      <c r="R183" s="10">
        <f>IFERROR(Table1[[#This Row],[Gross Cost]]/(Table1[[#This Row],[Impressions]]/1000),0)</f>
        <v>198.29258958474881</v>
      </c>
      <c r="S183" s="5">
        <f>IFERROR(Table1[[#This Row],[Viewable Impressions]]/Table1[[#This Row],[Measurable Impressions]],0)</f>
        <v>0.61308700702472485</v>
      </c>
      <c r="T183" s="10">
        <f>IFERROR(1000*Table1[[#This Row],[Gross Cost]]/Table1[[#This Row],[Viewable Impressions]],0)</f>
        <v>447.62530530494411</v>
      </c>
      <c r="U183" s="10"/>
    </row>
    <row r="184" spans="1:21" x14ac:dyDescent="0.2">
      <c r="A184" t="s">
        <v>570</v>
      </c>
      <c r="B184" t="s">
        <v>14</v>
      </c>
      <c r="C184" t="s">
        <v>30</v>
      </c>
      <c r="D184" t="s">
        <v>16</v>
      </c>
      <c r="E184" t="str">
        <f>TRIM(RIGHT(Table1[[#This Row],[Location]],LEN(Table1[[#This Row],[Location]])-FIND(",",Table1[[#This Row],[Location]])))</f>
        <v>California</v>
      </c>
      <c r="F184" t="s">
        <v>571</v>
      </c>
      <c r="G184" t="s">
        <v>18</v>
      </c>
      <c r="H184" t="s">
        <v>26</v>
      </c>
      <c r="I184">
        <v>8944</v>
      </c>
      <c r="J184">
        <v>45</v>
      </c>
      <c r="K184">
        <v>3002</v>
      </c>
      <c r="L184">
        <v>6361</v>
      </c>
      <c r="M184">
        <v>6</v>
      </c>
      <c r="N184">
        <v>1755.4845419999999</v>
      </c>
      <c r="O184" s="7">
        <f>IFERROR(Table1[[#This Row],[Clicks]]/Table1[[#This Row],[Impressions]],0)</f>
        <v>5.0313059033989267E-3</v>
      </c>
      <c r="P184" s="5">
        <f>IFERROR(Table1[[#This Row],[Total Conversions]]/Table1[[#This Row],[Clicks]],0)</f>
        <v>0.13333333333333333</v>
      </c>
      <c r="Q184" s="10">
        <f>IFERROR(Table1[[#This Row],[Gross Cost]]/Table1[[#This Row],[Total Conversions]],0)</f>
        <v>292.58075700000001</v>
      </c>
      <c r="R184" s="10">
        <f>IFERROR(Table1[[#This Row],[Gross Cost]]/(Table1[[#This Row],[Impressions]]/1000),0)</f>
        <v>196.27510532200355</v>
      </c>
      <c r="S184" s="5">
        <f>IFERROR(Table1[[#This Row],[Viewable Impressions]]/Table1[[#This Row],[Measurable Impressions]],0)</f>
        <v>0.47193837446942305</v>
      </c>
      <c r="T184" s="10">
        <f>IFERROR(1000*Table1[[#This Row],[Gross Cost]]/Table1[[#This Row],[Viewable Impressions]],0)</f>
        <v>584.77166622251832</v>
      </c>
      <c r="U184" s="10"/>
    </row>
    <row r="185" spans="1:21" x14ac:dyDescent="0.2">
      <c r="A185" t="s">
        <v>219</v>
      </c>
      <c r="B185" t="s">
        <v>21</v>
      </c>
      <c r="C185" t="s">
        <v>22</v>
      </c>
      <c r="D185" t="s">
        <v>34</v>
      </c>
      <c r="E185" t="str">
        <f>TRIM(RIGHT(Table1[[#This Row],[Location]],LEN(Table1[[#This Row],[Location]])-FIND(",",Table1[[#This Row],[Location]])))</f>
        <v>Illinois</v>
      </c>
      <c r="F185" t="s">
        <v>218</v>
      </c>
      <c r="G185" t="s">
        <v>25</v>
      </c>
      <c r="H185" t="s">
        <v>26</v>
      </c>
      <c r="I185">
        <v>27032</v>
      </c>
      <c r="J185">
        <v>110</v>
      </c>
      <c r="K185">
        <v>21893</v>
      </c>
      <c r="L185">
        <v>26127</v>
      </c>
      <c r="M185">
        <v>5</v>
      </c>
      <c r="N185">
        <v>5292.8969129999996</v>
      </c>
      <c r="O185" s="7">
        <f>IFERROR(Table1[[#This Row],[Clicks]]/Table1[[#This Row],[Impressions]],0)</f>
        <v>4.0692512577685707E-3</v>
      </c>
      <c r="P185" s="5">
        <f>IFERROR(Table1[[#This Row],[Total Conversions]]/Table1[[#This Row],[Clicks]],0)</f>
        <v>4.5454545454545456E-2</v>
      </c>
      <c r="Q185" s="10">
        <f>IFERROR(Table1[[#This Row],[Gross Cost]]/Table1[[#This Row],[Total Conversions]],0)</f>
        <v>1058.5793825999999</v>
      </c>
      <c r="R185" s="10">
        <f>IFERROR(Table1[[#This Row],[Gross Cost]]/(Table1[[#This Row],[Impressions]]/1000),0)</f>
        <v>195.8011583678603</v>
      </c>
      <c r="S185" s="5">
        <f>IFERROR(Table1[[#This Row],[Viewable Impressions]]/Table1[[#This Row],[Measurable Impressions]],0)</f>
        <v>0.83794542044628162</v>
      </c>
      <c r="T185" s="10">
        <f>IFERROR(1000*Table1[[#This Row],[Gross Cost]]/Table1[[#This Row],[Viewable Impressions]],0)</f>
        <v>241.76206609418534</v>
      </c>
      <c r="U185" s="10"/>
    </row>
    <row r="186" spans="1:21" x14ac:dyDescent="0.2">
      <c r="A186" t="s">
        <v>261</v>
      </c>
      <c r="B186" t="s">
        <v>21</v>
      </c>
      <c r="C186" t="s">
        <v>30</v>
      </c>
      <c r="D186" t="s">
        <v>34</v>
      </c>
      <c r="E186" t="str">
        <f>TRIM(RIGHT(Table1[[#This Row],[Location]],LEN(Table1[[#This Row],[Location]])-FIND(",",Table1[[#This Row],[Location]])))</f>
        <v>Illinois</v>
      </c>
      <c r="F186" t="s">
        <v>260</v>
      </c>
      <c r="G186" t="s">
        <v>25</v>
      </c>
      <c r="H186" t="s">
        <v>26</v>
      </c>
      <c r="I186">
        <v>28553</v>
      </c>
      <c r="J186">
        <v>90</v>
      </c>
      <c r="K186">
        <v>11390</v>
      </c>
      <c r="L186">
        <v>23355</v>
      </c>
      <c r="M186">
        <v>13</v>
      </c>
      <c r="N186">
        <v>5573.1123960000004</v>
      </c>
      <c r="O186" s="7">
        <f>IFERROR(Table1[[#This Row],[Clicks]]/Table1[[#This Row],[Impressions]],0)</f>
        <v>3.1520330613245542E-3</v>
      </c>
      <c r="P186" s="5">
        <f>IFERROR(Table1[[#This Row],[Total Conversions]]/Table1[[#This Row],[Clicks]],0)</f>
        <v>0.14444444444444443</v>
      </c>
      <c r="Q186" s="10">
        <f>IFERROR(Table1[[#This Row],[Gross Cost]]/Table1[[#This Row],[Total Conversions]],0)</f>
        <v>428.70095353846159</v>
      </c>
      <c r="R186" s="10">
        <f>IFERROR(Table1[[#This Row],[Gross Cost]]/(Table1[[#This Row],[Impressions]]/1000),0)</f>
        <v>195.1848280741078</v>
      </c>
      <c r="S186" s="5">
        <f>IFERROR(Table1[[#This Row],[Viewable Impressions]]/Table1[[#This Row],[Measurable Impressions]],0)</f>
        <v>0.48769000214086922</v>
      </c>
      <c r="T186" s="10">
        <f>IFERROR(1000*Table1[[#This Row],[Gross Cost]]/Table1[[#This Row],[Viewable Impressions]],0)</f>
        <v>489.2987178226515</v>
      </c>
      <c r="U186" s="10"/>
    </row>
    <row r="187" spans="1:21" x14ac:dyDescent="0.2">
      <c r="A187" t="s">
        <v>524</v>
      </c>
      <c r="B187" t="s">
        <v>14</v>
      </c>
      <c r="C187" t="s">
        <v>22</v>
      </c>
      <c r="D187" t="s">
        <v>34</v>
      </c>
      <c r="E187" t="str">
        <f>TRIM(RIGHT(Table1[[#This Row],[Location]],LEN(Table1[[#This Row],[Location]])-FIND(",",Table1[[#This Row],[Location]])))</f>
        <v>Illinois</v>
      </c>
      <c r="F187" t="s">
        <v>517</v>
      </c>
      <c r="G187" t="s">
        <v>116</v>
      </c>
      <c r="H187" t="s">
        <v>51</v>
      </c>
      <c r="I187">
        <v>25889</v>
      </c>
      <c r="J187">
        <v>110</v>
      </c>
      <c r="K187">
        <v>18382</v>
      </c>
      <c r="L187">
        <v>23328</v>
      </c>
      <c r="M187">
        <v>15</v>
      </c>
      <c r="N187">
        <v>4977.7847940000001</v>
      </c>
      <c r="O187" s="7">
        <f>IFERROR(Table1[[#This Row],[Clicks]]/Table1[[#This Row],[Impressions]],0)</f>
        <v>4.248908802966511E-3</v>
      </c>
      <c r="P187" s="5">
        <f>IFERROR(Table1[[#This Row],[Total Conversions]]/Table1[[#This Row],[Clicks]],0)</f>
        <v>0.13636363636363635</v>
      </c>
      <c r="Q187" s="10">
        <f>IFERROR(Table1[[#This Row],[Gross Cost]]/Table1[[#This Row],[Total Conversions]],0)</f>
        <v>331.85231959999999</v>
      </c>
      <c r="R187" s="10">
        <f>IFERROR(Table1[[#This Row],[Gross Cost]]/(Table1[[#This Row],[Impressions]]/1000),0)</f>
        <v>192.27412391363129</v>
      </c>
      <c r="S187" s="5">
        <f>IFERROR(Table1[[#This Row],[Viewable Impressions]]/Table1[[#This Row],[Measurable Impressions]],0)</f>
        <v>0.78798010973936905</v>
      </c>
      <c r="T187" s="10">
        <f>IFERROR(1000*Table1[[#This Row],[Gross Cost]]/Table1[[#This Row],[Viewable Impressions]],0)</f>
        <v>270.79669209008813</v>
      </c>
      <c r="U187" s="10"/>
    </row>
    <row r="188" spans="1:21" x14ac:dyDescent="0.2">
      <c r="A188" t="s">
        <v>445</v>
      </c>
      <c r="B188" t="s">
        <v>14</v>
      </c>
      <c r="C188" t="s">
        <v>41</v>
      </c>
      <c r="D188" t="s">
        <v>16</v>
      </c>
      <c r="E188" t="str">
        <f>TRIM(RIGHT(Table1[[#This Row],[Location]],LEN(Table1[[#This Row],[Location]])-FIND(",",Table1[[#This Row],[Location]])))</f>
        <v>California</v>
      </c>
      <c r="F188" t="s">
        <v>446</v>
      </c>
      <c r="G188" t="s">
        <v>166</v>
      </c>
      <c r="H188" t="s">
        <v>26</v>
      </c>
      <c r="I188">
        <v>9149</v>
      </c>
      <c r="J188">
        <v>40</v>
      </c>
      <c r="K188">
        <v>4568</v>
      </c>
      <c r="L188">
        <v>8648</v>
      </c>
      <c r="M188">
        <v>4</v>
      </c>
      <c r="N188">
        <v>1758.0983650000001</v>
      </c>
      <c r="O188" s="7">
        <f>IFERROR(Table1[[#This Row],[Clicks]]/Table1[[#This Row],[Impressions]],0)</f>
        <v>4.3720625204940432E-3</v>
      </c>
      <c r="P188" s="5">
        <f>IFERROR(Table1[[#This Row],[Total Conversions]]/Table1[[#This Row],[Clicks]],0)</f>
        <v>0.1</v>
      </c>
      <c r="Q188" s="10">
        <f>IFERROR(Table1[[#This Row],[Gross Cost]]/Table1[[#This Row],[Total Conversions]],0)</f>
        <v>439.52459125000001</v>
      </c>
      <c r="R188" s="10">
        <f>IFERROR(Table1[[#This Row],[Gross Cost]]/(Table1[[#This Row],[Impressions]]/1000),0)</f>
        <v>192.16289922395893</v>
      </c>
      <c r="S188" s="5">
        <f>IFERROR(Table1[[#This Row],[Viewable Impressions]]/Table1[[#This Row],[Measurable Impressions]],0)</f>
        <v>0.52821461609620723</v>
      </c>
      <c r="T188" s="10">
        <f>IFERROR(1000*Table1[[#This Row],[Gross Cost]]/Table1[[#This Row],[Viewable Impressions]],0)</f>
        <v>384.87267184763573</v>
      </c>
      <c r="U188" s="10"/>
    </row>
    <row r="189" spans="1:21" x14ac:dyDescent="0.2">
      <c r="A189" t="s">
        <v>884</v>
      </c>
      <c r="B189" t="s">
        <v>14</v>
      </c>
      <c r="C189" t="s">
        <v>22</v>
      </c>
      <c r="D189" t="s">
        <v>77</v>
      </c>
      <c r="E189" t="str">
        <f>TRIM(RIGHT(Table1[[#This Row],[Location]],LEN(Table1[[#This Row],[Location]])-FIND(",",Table1[[#This Row],[Location]])))</f>
        <v>New York</v>
      </c>
      <c r="F189" t="s">
        <v>885</v>
      </c>
      <c r="G189" t="s">
        <v>35</v>
      </c>
      <c r="H189" t="s">
        <v>26</v>
      </c>
      <c r="I189">
        <v>11343</v>
      </c>
      <c r="J189">
        <v>69</v>
      </c>
      <c r="K189">
        <v>5900</v>
      </c>
      <c r="L189">
        <v>10175</v>
      </c>
      <c r="M189">
        <v>3</v>
      </c>
      <c r="N189">
        <v>2178.1537750000002</v>
      </c>
      <c r="O189" s="7">
        <f>IFERROR(Table1[[#This Row],[Clicks]]/Table1[[#This Row],[Impressions]],0)</f>
        <v>6.0830468130124308E-3</v>
      </c>
      <c r="P189" s="5">
        <f>IFERROR(Table1[[#This Row],[Total Conversions]]/Table1[[#This Row],[Clicks]],0)</f>
        <v>4.3478260869565216E-2</v>
      </c>
      <c r="Q189" s="10">
        <f>IFERROR(Table1[[#This Row],[Gross Cost]]/Table1[[#This Row],[Total Conversions]],0)</f>
        <v>726.05125833333341</v>
      </c>
      <c r="R189" s="10">
        <f>IFERROR(Table1[[#This Row],[Gross Cost]]/(Table1[[#This Row],[Impressions]]/1000),0)</f>
        <v>192.02625187340212</v>
      </c>
      <c r="S189" s="5">
        <f>IFERROR(Table1[[#This Row],[Viewable Impressions]]/Table1[[#This Row],[Measurable Impressions]],0)</f>
        <v>0.57985257985257987</v>
      </c>
      <c r="T189" s="10">
        <f>IFERROR(1000*Table1[[#This Row],[Gross Cost]]/Table1[[#This Row],[Viewable Impressions]],0)</f>
        <v>369.17860593220342</v>
      </c>
      <c r="U189" s="10"/>
    </row>
    <row r="190" spans="1:21" x14ac:dyDescent="0.2">
      <c r="A190" t="s">
        <v>312</v>
      </c>
      <c r="B190" t="s">
        <v>14</v>
      </c>
      <c r="C190" t="s">
        <v>22</v>
      </c>
      <c r="D190" t="s">
        <v>38</v>
      </c>
      <c r="E190" t="str">
        <f>TRIM(RIGHT(Table1[[#This Row],[Location]],LEN(Table1[[#This Row],[Location]])-FIND(",",Table1[[#This Row],[Location]])))</f>
        <v>Tennessee</v>
      </c>
      <c r="F190" t="s">
        <v>296</v>
      </c>
      <c r="G190" t="s">
        <v>18</v>
      </c>
      <c r="H190" t="s">
        <v>26</v>
      </c>
      <c r="I190">
        <v>23983</v>
      </c>
      <c r="J190">
        <v>0</v>
      </c>
      <c r="K190">
        <v>464</v>
      </c>
      <c r="L190">
        <v>19802</v>
      </c>
      <c r="M190">
        <v>9</v>
      </c>
      <c r="N190">
        <v>4574.3482700000004</v>
      </c>
      <c r="O190" s="7">
        <f>IFERROR(Table1[[#This Row],[Clicks]]/Table1[[#This Row],[Impressions]],0)</f>
        <v>0</v>
      </c>
      <c r="P190" s="5">
        <f>IFERROR(Table1[[#This Row],[Total Conversions]]/Table1[[#This Row],[Clicks]],0)</f>
        <v>0</v>
      </c>
      <c r="Q190" s="10">
        <f>IFERROR(Table1[[#This Row],[Gross Cost]]/Table1[[#This Row],[Total Conversions]],0)</f>
        <v>508.26091888888891</v>
      </c>
      <c r="R190" s="10">
        <f>IFERROR(Table1[[#This Row],[Gross Cost]]/(Table1[[#This Row],[Impressions]]/1000),0)</f>
        <v>190.73294708752033</v>
      </c>
      <c r="S190" s="5">
        <f>IFERROR(Table1[[#This Row],[Viewable Impressions]]/Table1[[#This Row],[Measurable Impressions]],0)</f>
        <v>2.3431976568023431E-2</v>
      </c>
      <c r="T190" s="10">
        <f>IFERROR(1000*Table1[[#This Row],[Gross Cost]]/Table1[[#This Row],[Viewable Impressions]],0)</f>
        <v>9858.5092025862086</v>
      </c>
      <c r="U190" s="10"/>
    </row>
    <row r="191" spans="1:21" x14ac:dyDescent="0.2">
      <c r="A191" t="s">
        <v>901</v>
      </c>
      <c r="B191" t="s">
        <v>21</v>
      </c>
      <c r="C191" t="s">
        <v>30</v>
      </c>
      <c r="D191" t="s">
        <v>34</v>
      </c>
      <c r="E191" t="str">
        <f>TRIM(RIGHT(Table1[[#This Row],[Location]],LEN(Table1[[#This Row],[Location]])-FIND(",",Table1[[#This Row],[Location]])))</f>
        <v>Illinois</v>
      </c>
      <c r="F191" t="s">
        <v>899</v>
      </c>
      <c r="G191" t="s">
        <v>18</v>
      </c>
      <c r="H191" t="s">
        <v>26</v>
      </c>
      <c r="I191">
        <v>25539</v>
      </c>
      <c r="J191">
        <v>78</v>
      </c>
      <c r="K191">
        <v>12130</v>
      </c>
      <c r="L191">
        <v>24129</v>
      </c>
      <c r="M191">
        <v>15</v>
      </c>
      <c r="N191">
        <v>4804.4932330000001</v>
      </c>
      <c r="O191" s="7">
        <f>IFERROR(Table1[[#This Row],[Clicks]]/Table1[[#This Row],[Impressions]],0)</f>
        <v>3.0541524726888287E-3</v>
      </c>
      <c r="P191" s="5">
        <f>IFERROR(Table1[[#This Row],[Total Conversions]]/Table1[[#This Row],[Clicks]],0)</f>
        <v>0.19230769230769232</v>
      </c>
      <c r="Q191" s="10">
        <f>IFERROR(Table1[[#This Row],[Gross Cost]]/Table1[[#This Row],[Total Conversions]],0)</f>
        <v>320.29954886666667</v>
      </c>
      <c r="R191" s="10">
        <f>IFERROR(Table1[[#This Row],[Gross Cost]]/(Table1[[#This Row],[Impressions]]/1000),0)</f>
        <v>188.12378061004736</v>
      </c>
      <c r="S191" s="5">
        <f>IFERROR(Table1[[#This Row],[Viewable Impressions]]/Table1[[#This Row],[Measurable Impressions]],0)</f>
        <v>0.50271457582162538</v>
      </c>
      <c r="T191" s="10">
        <f>IFERROR(1000*Table1[[#This Row],[Gross Cost]]/Table1[[#This Row],[Viewable Impressions]],0)</f>
        <v>396.08353116240727</v>
      </c>
      <c r="U191" s="10"/>
    </row>
    <row r="192" spans="1:21" x14ac:dyDescent="0.2">
      <c r="A192" t="s">
        <v>140</v>
      </c>
      <c r="B192" t="s">
        <v>21</v>
      </c>
      <c r="C192" t="s">
        <v>15</v>
      </c>
      <c r="D192" t="s">
        <v>141</v>
      </c>
      <c r="E192" t="str">
        <f>TRIM(RIGHT(Table1[[#This Row],[Location]],LEN(Table1[[#This Row],[Location]])-FIND(",",Table1[[#This Row],[Location]])))</f>
        <v>Florida-Thomasville, Georgia</v>
      </c>
      <c r="F192" t="s">
        <v>142</v>
      </c>
      <c r="G192" t="s">
        <v>47</v>
      </c>
      <c r="H192" t="s">
        <v>26</v>
      </c>
      <c r="I192">
        <v>9078</v>
      </c>
      <c r="J192">
        <v>21</v>
      </c>
      <c r="K192">
        <v>4051</v>
      </c>
      <c r="L192">
        <v>6215</v>
      </c>
      <c r="M192">
        <v>1</v>
      </c>
      <c r="N192">
        <v>1700.795736</v>
      </c>
      <c r="O192" s="7">
        <f>IFERROR(Table1[[#This Row],[Clicks]]/Table1[[#This Row],[Impressions]],0)</f>
        <v>2.313284864507601E-3</v>
      </c>
      <c r="P192" s="5">
        <f>IFERROR(Table1[[#This Row],[Total Conversions]]/Table1[[#This Row],[Clicks]],0)</f>
        <v>4.7619047619047616E-2</v>
      </c>
      <c r="Q192" s="10">
        <f>IFERROR(Table1[[#This Row],[Gross Cost]]/Table1[[#This Row],[Total Conversions]],0)</f>
        <v>1700.795736</v>
      </c>
      <c r="R192" s="10">
        <f>IFERROR(Table1[[#This Row],[Gross Cost]]/(Table1[[#This Row],[Impressions]]/1000),0)</f>
        <v>187.35357303370787</v>
      </c>
      <c r="S192" s="5">
        <f>IFERROR(Table1[[#This Row],[Viewable Impressions]]/Table1[[#This Row],[Measurable Impressions]],0)</f>
        <v>0.65181013676588895</v>
      </c>
      <c r="T192" s="10">
        <f>IFERROR(1000*Table1[[#This Row],[Gross Cost]]/Table1[[#This Row],[Viewable Impressions]],0)</f>
        <v>419.84589879042215</v>
      </c>
      <c r="U192" s="10"/>
    </row>
    <row r="193" spans="1:21" x14ac:dyDescent="0.2">
      <c r="A193" t="s">
        <v>891</v>
      </c>
      <c r="B193" t="s">
        <v>14</v>
      </c>
      <c r="C193" t="s">
        <v>30</v>
      </c>
      <c r="D193" t="s">
        <v>65</v>
      </c>
      <c r="E193" t="str">
        <f>TRIM(RIGHT(Table1[[#This Row],[Location]],LEN(Table1[[#This Row],[Location]])-FIND(",",Table1[[#This Row],[Location]])))</f>
        <v>Florida</v>
      </c>
      <c r="F193" t="s">
        <v>892</v>
      </c>
      <c r="G193" t="s">
        <v>18</v>
      </c>
      <c r="H193" t="s">
        <v>51</v>
      </c>
      <c r="I193">
        <v>24875</v>
      </c>
      <c r="J193">
        <v>67</v>
      </c>
      <c r="K193">
        <v>14213</v>
      </c>
      <c r="L193">
        <v>23455</v>
      </c>
      <c r="M193">
        <v>8</v>
      </c>
      <c r="N193">
        <v>4652.2420510000002</v>
      </c>
      <c r="O193" s="7">
        <f>IFERROR(Table1[[#This Row],[Clicks]]/Table1[[#This Row],[Impressions]],0)</f>
        <v>2.693467336683417E-3</v>
      </c>
      <c r="P193" s="5">
        <f>IFERROR(Table1[[#This Row],[Total Conversions]]/Table1[[#This Row],[Clicks]],0)</f>
        <v>0.11940298507462686</v>
      </c>
      <c r="Q193" s="10">
        <f>IFERROR(Table1[[#This Row],[Gross Cost]]/Table1[[#This Row],[Total Conversions]],0)</f>
        <v>581.53025637500002</v>
      </c>
      <c r="R193" s="10">
        <f>IFERROR(Table1[[#This Row],[Gross Cost]]/(Table1[[#This Row],[Impressions]]/1000),0)</f>
        <v>187.02480607035176</v>
      </c>
      <c r="S193" s="5">
        <f>IFERROR(Table1[[#This Row],[Viewable Impressions]]/Table1[[#This Row],[Measurable Impressions]],0)</f>
        <v>0.60596887657215948</v>
      </c>
      <c r="T193" s="10">
        <f>IFERROR(1000*Table1[[#This Row],[Gross Cost]]/Table1[[#This Row],[Viewable Impressions]],0)</f>
        <v>327.32301773024693</v>
      </c>
      <c r="U193" s="10"/>
    </row>
    <row r="194" spans="1:21" x14ac:dyDescent="0.2">
      <c r="A194" t="s">
        <v>714</v>
      </c>
      <c r="B194" t="s">
        <v>21</v>
      </c>
      <c r="C194" t="s">
        <v>30</v>
      </c>
      <c r="D194" t="s">
        <v>54</v>
      </c>
      <c r="E194" t="str">
        <f>TRIM(RIGHT(Table1[[#This Row],[Location]],LEN(Table1[[#This Row],[Location]])-FIND(",",Table1[[#This Row],[Location]])))</f>
        <v>Florida</v>
      </c>
      <c r="F194" t="s">
        <v>701</v>
      </c>
      <c r="G194" t="s">
        <v>35</v>
      </c>
      <c r="H194" t="s">
        <v>26</v>
      </c>
      <c r="I194">
        <v>8278</v>
      </c>
      <c r="J194">
        <v>40</v>
      </c>
      <c r="K194">
        <v>6758</v>
      </c>
      <c r="L194">
        <v>7537</v>
      </c>
      <c r="M194">
        <v>1</v>
      </c>
      <c r="N194">
        <v>1526.296619</v>
      </c>
      <c r="O194" s="7">
        <f>IFERROR(Table1[[#This Row],[Clicks]]/Table1[[#This Row],[Impressions]],0)</f>
        <v>4.8320850446967869E-3</v>
      </c>
      <c r="P194" s="5">
        <f>IFERROR(Table1[[#This Row],[Total Conversions]]/Table1[[#This Row],[Clicks]],0)</f>
        <v>2.5000000000000001E-2</v>
      </c>
      <c r="Q194" s="10">
        <f>IFERROR(Table1[[#This Row],[Gross Cost]]/Table1[[#This Row],[Total Conversions]],0)</f>
        <v>1526.296619</v>
      </c>
      <c r="R194" s="10">
        <f>IFERROR(Table1[[#This Row],[Gross Cost]]/(Table1[[#This Row],[Impressions]]/1000),0)</f>
        <v>184.37987666102921</v>
      </c>
      <c r="S194" s="5">
        <f>IFERROR(Table1[[#This Row],[Viewable Impressions]]/Table1[[#This Row],[Measurable Impressions]],0)</f>
        <v>0.89664322674804298</v>
      </c>
      <c r="T194" s="10">
        <f>IFERROR(1000*Table1[[#This Row],[Gross Cost]]/Table1[[#This Row],[Viewable Impressions]],0)</f>
        <v>225.85034314886059</v>
      </c>
      <c r="U194" s="10"/>
    </row>
    <row r="195" spans="1:21" x14ac:dyDescent="0.2">
      <c r="A195" t="s">
        <v>429</v>
      </c>
      <c r="B195" t="s">
        <v>14</v>
      </c>
      <c r="C195" t="s">
        <v>15</v>
      </c>
      <c r="D195" t="s">
        <v>42</v>
      </c>
      <c r="E195" t="str">
        <f>TRIM(RIGHT(Table1[[#This Row],[Location]],LEN(Table1[[#This Row],[Location]])-FIND(",",Table1[[#This Row],[Location]])))</f>
        <v>Illinois</v>
      </c>
      <c r="F195" t="s">
        <v>430</v>
      </c>
      <c r="G195" t="s">
        <v>18</v>
      </c>
      <c r="H195" t="s">
        <v>26</v>
      </c>
      <c r="I195">
        <v>13183</v>
      </c>
      <c r="J195">
        <v>100</v>
      </c>
      <c r="K195">
        <v>4337</v>
      </c>
      <c r="L195">
        <v>10596</v>
      </c>
      <c r="M195">
        <v>1</v>
      </c>
      <c r="N195">
        <v>2430.2436640000001</v>
      </c>
      <c r="O195" s="7">
        <f>IFERROR(Table1[[#This Row],[Clicks]]/Table1[[#This Row],[Impressions]],0)</f>
        <v>7.5855268148372901E-3</v>
      </c>
      <c r="P195" s="5">
        <f>IFERROR(Table1[[#This Row],[Total Conversions]]/Table1[[#This Row],[Clicks]],0)</f>
        <v>0.01</v>
      </c>
      <c r="Q195" s="10">
        <f>IFERROR(Table1[[#This Row],[Gross Cost]]/Table1[[#This Row],[Total Conversions]],0)</f>
        <v>2430.2436640000001</v>
      </c>
      <c r="R195" s="10">
        <f>IFERROR(Table1[[#This Row],[Gross Cost]]/(Table1[[#This Row],[Impressions]]/1000),0)</f>
        <v>184.34678479860426</v>
      </c>
      <c r="S195" s="5">
        <f>IFERROR(Table1[[#This Row],[Viewable Impressions]]/Table1[[#This Row],[Measurable Impressions]],0)</f>
        <v>0.40930539826349566</v>
      </c>
      <c r="T195" s="10">
        <f>IFERROR(1000*Table1[[#This Row],[Gross Cost]]/Table1[[#This Row],[Viewable Impressions]],0)</f>
        <v>560.35131750057644</v>
      </c>
      <c r="U195" s="10"/>
    </row>
    <row r="196" spans="1:21" x14ac:dyDescent="0.2">
      <c r="A196" t="s">
        <v>941</v>
      </c>
      <c r="B196" t="s">
        <v>21</v>
      </c>
      <c r="C196" t="s">
        <v>41</v>
      </c>
      <c r="D196" t="s">
        <v>77</v>
      </c>
      <c r="E196" t="str">
        <f>TRIM(RIGHT(Table1[[#This Row],[Location]],LEN(Table1[[#This Row],[Location]])-FIND(",",Table1[[#This Row],[Location]])))</f>
        <v>New York</v>
      </c>
      <c r="F196" t="s">
        <v>918</v>
      </c>
      <c r="G196" t="s">
        <v>18</v>
      </c>
      <c r="H196" t="s">
        <v>26</v>
      </c>
      <c r="I196">
        <v>12512</v>
      </c>
      <c r="J196">
        <v>69</v>
      </c>
      <c r="K196">
        <v>6240</v>
      </c>
      <c r="L196">
        <v>9672</v>
      </c>
      <c r="M196">
        <v>1</v>
      </c>
      <c r="N196">
        <v>2298.8889650000001</v>
      </c>
      <c r="O196" s="7">
        <f>IFERROR(Table1[[#This Row],[Clicks]]/Table1[[#This Row],[Impressions]],0)</f>
        <v>5.5147058823529415E-3</v>
      </c>
      <c r="P196" s="5">
        <f>IFERROR(Table1[[#This Row],[Total Conversions]]/Table1[[#This Row],[Clicks]],0)</f>
        <v>1.4492753623188406E-2</v>
      </c>
      <c r="Q196" s="10">
        <f>IFERROR(Table1[[#This Row],[Gross Cost]]/Table1[[#This Row],[Total Conversions]],0)</f>
        <v>2298.8889650000001</v>
      </c>
      <c r="R196" s="10">
        <f>IFERROR(Table1[[#This Row],[Gross Cost]]/(Table1[[#This Row],[Impressions]]/1000),0)</f>
        <v>183.73473185741688</v>
      </c>
      <c r="S196" s="5">
        <f>IFERROR(Table1[[#This Row],[Viewable Impressions]]/Table1[[#This Row],[Measurable Impressions]],0)</f>
        <v>0.64516129032258063</v>
      </c>
      <c r="T196" s="10">
        <f>IFERROR(1000*Table1[[#This Row],[Gross Cost]]/Table1[[#This Row],[Viewable Impressions]],0)</f>
        <v>368.41169310897442</v>
      </c>
      <c r="U196" s="10"/>
    </row>
    <row r="197" spans="1:21" x14ac:dyDescent="0.2">
      <c r="A197" t="s">
        <v>191</v>
      </c>
      <c r="B197" t="s">
        <v>60</v>
      </c>
      <c r="C197" t="s">
        <v>15</v>
      </c>
      <c r="D197" t="s">
        <v>16</v>
      </c>
      <c r="E197" t="str">
        <f>TRIM(RIGHT(Table1[[#This Row],[Location]],LEN(Table1[[#This Row],[Location]])-FIND(",",Table1[[#This Row],[Location]])))</f>
        <v>California</v>
      </c>
      <c r="F197" t="s">
        <v>185</v>
      </c>
      <c r="G197" t="s">
        <v>18</v>
      </c>
      <c r="H197" t="s">
        <v>26</v>
      </c>
      <c r="I197">
        <v>9730</v>
      </c>
      <c r="J197">
        <v>45</v>
      </c>
      <c r="K197">
        <v>2971</v>
      </c>
      <c r="L197">
        <v>5102</v>
      </c>
      <c r="M197">
        <v>3</v>
      </c>
      <c r="N197">
        <v>1778.9379349999999</v>
      </c>
      <c r="O197" s="7">
        <f>IFERROR(Table1[[#This Row],[Clicks]]/Table1[[#This Row],[Impressions]],0)</f>
        <v>4.6248715313463515E-3</v>
      </c>
      <c r="P197" s="5">
        <f>IFERROR(Table1[[#This Row],[Total Conversions]]/Table1[[#This Row],[Clicks]],0)</f>
        <v>6.6666666666666666E-2</v>
      </c>
      <c r="Q197" s="10">
        <f>IFERROR(Table1[[#This Row],[Gross Cost]]/Table1[[#This Row],[Total Conversions]],0)</f>
        <v>592.9793116666666</v>
      </c>
      <c r="R197" s="10">
        <f>IFERROR(Table1[[#This Row],[Gross Cost]]/(Table1[[#This Row],[Impressions]]/1000),0)</f>
        <v>182.83020914696812</v>
      </c>
      <c r="S197" s="5">
        <f>IFERROR(Table1[[#This Row],[Viewable Impressions]]/Table1[[#This Row],[Measurable Impressions]],0)</f>
        <v>0.58232065856526849</v>
      </c>
      <c r="T197" s="10">
        <f>IFERROR(1000*Table1[[#This Row],[Gross Cost]]/Table1[[#This Row],[Viewable Impressions]],0)</f>
        <v>598.76739649949502</v>
      </c>
      <c r="U197" s="10"/>
    </row>
    <row r="198" spans="1:21" x14ac:dyDescent="0.2">
      <c r="A198" t="s">
        <v>565</v>
      </c>
      <c r="B198" t="s">
        <v>21</v>
      </c>
      <c r="C198" t="s">
        <v>22</v>
      </c>
      <c r="D198" t="s">
        <v>146</v>
      </c>
      <c r="E198" t="str">
        <f>TRIM(RIGHT(Table1[[#This Row],[Location]],LEN(Table1[[#This Row],[Location]])-FIND(",",Table1[[#This Row],[Location]])))</f>
        <v>Tennessee-Virginia</v>
      </c>
      <c r="F198" t="s">
        <v>564</v>
      </c>
      <c r="G198" t="s">
        <v>35</v>
      </c>
      <c r="H198" t="s">
        <v>26</v>
      </c>
      <c r="I198">
        <v>27371</v>
      </c>
      <c r="J198">
        <v>60</v>
      </c>
      <c r="K198">
        <v>22256</v>
      </c>
      <c r="L198">
        <v>25986</v>
      </c>
      <c r="M198">
        <v>5</v>
      </c>
      <c r="N198">
        <v>4984.4855829999997</v>
      </c>
      <c r="O198" s="7">
        <f>IFERROR(Table1[[#This Row],[Clicks]]/Table1[[#This Row],[Impressions]],0)</f>
        <v>2.1921011289320813E-3</v>
      </c>
      <c r="P198" s="5">
        <f>IFERROR(Table1[[#This Row],[Total Conversions]]/Table1[[#This Row],[Clicks]],0)</f>
        <v>8.3333333333333329E-2</v>
      </c>
      <c r="Q198" s="10">
        <f>IFERROR(Table1[[#This Row],[Gross Cost]]/Table1[[#This Row],[Total Conversions]],0)</f>
        <v>996.89711659999989</v>
      </c>
      <c r="R198" s="10">
        <f>IFERROR(Table1[[#This Row],[Gross Cost]]/(Table1[[#This Row],[Impressions]]/1000),0)</f>
        <v>182.10827456066639</v>
      </c>
      <c r="S198" s="5">
        <f>IFERROR(Table1[[#This Row],[Viewable Impressions]]/Table1[[#This Row],[Measurable Impressions]],0)</f>
        <v>0.85646117139998457</v>
      </c>
      <c r="T198" s="10">
        <f>IFERROR(1000*Table1[[#This Row],[Gross Cost]]/Table1[[#This Row],[Viewable Impressions]],0)</f>
        <v>223.96142986161033</v>
      </c>
      <c r="U198" s="10"/>
    </row>
    <row r="199" spans="1:21" x14ac:dyDescent="0.2">
      <c r="A199" t="s">
        <v>170</v>
      </c>
      <c r="B199" t="s">
        <v>21</v>
      </c>
      <c r="C199" t="s">
        <v>41</v>
      </c>
      <c r="D199" t="s">
        <v>77</v>
      </c>
      <c r="E199" t="str">
        <f>TRIM(RIGHT(Table1[[#This Row],[Location]],LEN(Table1[[#This Row],[Location]])-FIND(",",Table1[[#This Row],[Location]])))</f>
        <v>New York</v>
      </c>
      <c r="F199" t="s">
        <v>169</v>
      </c>
      <c r="G199" t="s">
        <v>25</v>
      </c>
      <c r="H199" t="s">
        <v>26</v>
      </c>
      <c r="I199">
        <v>37176</v>
      </c>
      <c r="J199">
        <v>100</v>
      </c>
      <c r="K199">
        <v>31829</v>
      </c>
      <c r="L199">
        <v>35639</v>
      </c>
      <c r="M199">
        <v>21</v>
      </c>
      <c r="N199">
        <v>6753.5952420000003</v>
      </c>
      <c r="O199" s="7">
        <f>IFERROR(Table1[[#This Row],[Clicks]]/Table1[[#This Row],[Impressions]],0)</f>
        <v>2.6899074671831291E-3</v>
      </c>
      <c r="P199" s="5">
        <f>IFERROR(Table1[[#This Row],[Total Conversions]]/Table1[[#This Row],[Clicks]],0)</f>
        <v>0.21</v>
      </c>
      <c r="Q199" s="10">
        <f>IFERROR(Table1[[#This Row],[Gross Cost]]/Table1[[#This Row],[Total Conversions]],0)</f>
        <v>321.59977342857144</v>
      </c>
      <c r="R199" s="10">
        <f>IFERROR(Table1[[#This Row],[Gross Cost]]/(Table1[[#This Row],[Impressions]]/1000),0)</f>
        <v>181.66546271788249</v>
      </c>
      <c r="S199" s="5">
        <f>IFERROR(Table1[[#This Row],[Viewable Impressions]]/Table1[[#This Row],[Measurable Impressions]],0)</f>
        <v>0.89309464350851597</v>
      </c>
      <c r="T199" s="10">
        <f>IFERROR(1000*Table1[[#This Row],[Gross Cost]]/Table1[[#This Row],[Viewable Impressions]],0)</f>
        <v>212.18370800213643</v>
      </c>
      <c r="U199" s="10"/>
    </row>
    <row r="200" spans="1:21" x14ac:dyDescent="0.2">
      <c r="A200" t="s">
        <v>737</v>
      </c>
      <c r="B200" t="s">
        <v>14</v>
      </c>
      <c r="C200" t="s">
        <v>15</v>
      </c>
      <c r="D200" t="s">
        <v>31</v>
      </c>
      <c r="E200" t="str">
        <f>TRIM(RIGHT(Table1[[#This Row],[Location]],LEN(Table1[[#This Row],[Location]])-FIND(",",Table1[[#This Row],[Location]])))</f>
        <v>Michigan</v>
      </c>
      <c r="F200" t="s">
        <v>734</v>
      </c>
      <c r="G200" t="s">
        <v>18</v>
      </c>
      <c r="H200" t="s">
        <v>26</v>
      </c>
      <c r="I200">
        <v>9130</v>
      </c>
      <c r="J200">
        <v>33</v>
      </c>
      <c r="K200">
        <v>3721</v>
      </c>
      <c r="L200">
        <v>5564</v>
      </c>
      <c r="M200">
        <v>1</v>
      </c>
      <c r="N200">
        <v>1655.7928569999999</v>
      </c>
      <c r="O200" s="7">
        <f>IFERROR(Table1[[#This Row],[Clicks]]/Table1[[#This Row],[Impressions]],0)</f>
        <v>3.6144578313253013E-3</v>
      </c>
      <c r="P200" s="5">
        <f>IFERROR(Table1[[#This Row],[Total Conversions]]/Table1[[#This Row],[Clicks]],0)</f>
        <v>3.0303030303030304E-2</v>
      </c>
      <c r="Q200" s="10">
        <f>IFERROR(Table1[[#This Row],[Gross Cost]]/Table1[[#This Row],[Total Conversions]],0)</f>
        <v>1655.7928569999999</v>
      </c>
      <c r="R200" s="10">
        <f>IFERROR(Table1[[#This Row],[Gross Cost]]/(Table1[[#This Row],[Impressions]]/1000),0)</f>
        <v>181.3573775465498</v>
      </c>
      <c r="S200" s="5">
        <f>IFERROR(Table1[[#This Row],[Viewable Impressions]]/Table1[[#This Row],[Measurable Impressions]],0)</f>
        <v>0.66876347951114301</v>
      </c>
      <c r="T200" s="10">
        <f>IFERROR(1000*Table1[[#This Row],[Gross Cost]]/Table1[[#This Row],[Viewable Impressions]],0)</f>
        <v>444.98598683149686</v>
      </c>
      <c r="U200" s="10"/>
    </row>
    <row r="201" spans="1:21" x14ac:dyDescent="0.2">
      <c r="A201" t="s">
        <v>216</v>
      </c>
      <c r="B201" t="s">
        <v>14</v>
      </c>
      <c r="C201" t="s">
        <v>30</v>
      </c>
      <c r="D201" t="s">
        <v>34</v>
      </c>
      <c r="E201" t="str">
        <f>TRIM(RIGHT(Table1[[#This Row],[Location]],LEN(Table1[[#This Row],[Location]])-FIND(",",Table1[[#This Row],[Location]])))</f>
        <v>Illinois</v>
      </c>
      <c r="F201" t="s">
        <v>215</v>
      </c>
      <c r="G201" t="s">
        <v>18</v>
      </c>
      <c r="H201" t="s">
        <v>26</v>
      </c>
      <c r="I201">
        <v>14581</v>
      </c>
      <c r="J201">
        <v>85</v>
      </c>
      <c r="K201">
        <v>6970</v>
      </c>
      <c r="L201">
        <v>8882</v>
      </c>
      <c r="M201">
        <v>4</v>
      </c>
      <c r="N201">
        <v>2636.2021239999999</v>
      </c>
      <c r="O201" s="7">
        <f>IFERROR(Table1[[#This Row],[Clicks]]/Table1[[#This Row],[Impressions]],0)</f>
        <v>5.8295041492353065E-3</v>
      </c>
      <c r="P201" s="5">
        <f>IFERROR(Table1[[#This Row],[Total Conversions]]/Table1[[#This Row],[Clicks]],0)</f>
        <v>4.7058823529411764E-2</v>
      </c>
      <c r="Q201" s="10">
        <f>IFERROR(Table1[[#This Row],[Gross Cost]]/Table1[[#This Row],[Total Conversions]],0)</f>
        <v>659.05053099999998</v>
      </c>
      <c r="R201" s="10">
        <f>IFERROR(Table1[[#This Row],[Gross Cost]]/(Table1[[#This Row],[Impressions]]/1000),0)</f>
        <v>180.79707317742267</v>
      </c>
      <c r="S201" s="5">
        <f>IFERROR(Table1[[#This Row],[Viewable Impressions]]/Table1[[#This Row],[Measurable Impressions]],0)</f>
        <v>0.7847331682053591</v>
      </c>
      <c r="T201" s="10">
        <f>IFERROR(1000*Table1[[#This Row],[Gross Cost]]/Table1[[#This Row],[Viewable Impressions]],0)</f>
        <v>378.22125164992826</v>
      </c>
      <c r="U201" s="10"/>
    </row>
    <row r="202" spans="1:21" x14ac:dyDescent="0.2">
      <c r="A202" t="s">
        <v>600</v>
      </c>
      <c r="B202" t="s">
        <v>21</v>
      </c>
      <c r="C202" t="s">
        <v>15</v>
      </c>
      <c r="D202" t="s">
        <v>77</v>
      </c>
      <c r="E202" t="str">
        <f>TRIM(RIGHT(Table1[[#This Row],[Location]],LEN(Table1[[#This Row],[Location]])-FIND(",",Table1[[#This Row],[Location]])))</f>
        <v>New York</v>
      </c>
      <c r="F202" t="s">
        <v>597</v>
      </c>
      <c r="G202" t="s">
        <v>18</v>
      </c>
      <c r="H202" t="s">
        <v>26</v>
      </c>
      <c r="I202">
        <v>10012</v>
      </c>
      <c r="J202">
        <v>25</v>
      </c>
      <c r="K202">
        <v>5734</v>
      </c>
      <c r="L202">
        <v>9413</v>
      </c>
      <c r="M202">
        <v>4</v>
      </c>
      <c r="N202">
        <v>1805.9260859999999</v>
      </c>
      <c r="O202" s="7">
        <f>IFERROR(Table1[[#This Row],[Clicks]]/Table1[[#This Row],[Impressions]],0)</f>
        <v>2.4970035956851776E-3</v>
      </c>
      <c r="P202" s="5">
        <f>IFERROR(Table1[[#This Row],[Total Conversions]]/Table1[[#This Row],[Clicks]],0)</f>
        <v>0.16</v>
      </c>
      <c r="Q202" s="10">
        <f>IFERROR(Table1[[#This Row],[Gross Cost]]/Table1[[#This Row],[Total Conversions]],0)</f>
        <v>451.48152149999999</v>
      </c>
      <c r="R202" s="10">
        <f>IFERROR(Table1[[#This Row],[Gross Cost]]/(Table1[[#This Row],[Impressions]]/1000),0)</f>
        <v>180.37615721134637</v>
      </c>
      <c r="S202" s="5">
        <f>IFERROR(Table1[[#This Row],[Viewable Impressions]]/Table1[[#This Row],[Measurable Impressions]],0)</f>
        <v>0.60915754807181555</v>
      </c>
      <c r="T202" s="10">
        <f>IFERROR(1000*Table1[[#This Row],[Gross Cost]]/Table1[[#This Row],[Viewable Impressions]],0)</f>
        <v>314.9504858737356</v>
      </c>
      <c r="U202" s="10"/>
    </row>
    <row r="203" spans="1:21" x14ac:dyDescent="0.2">
      <c r="A203" t="s">
        <v>161</v>
      </c>
      <c r="B203" t="s">
        <v>21</v>
      </c>
      <c r="C203" t="s">
        <v>22</v>
      </c>
      <c r="D203" t="s">
        <v>54</v>
      </c>
      <c r="E203" t="str">
        <f>TRIM(RIGHT(Table1[[#This Row],[Location]],LEN(Table1[[#This Row],[Location]])-FIND(",",Table1[[#This Row],[Location]])))</f>
        <v>Florida</v>
      </c>
      <c r="F203" t="s">
        <v>159</v>
      </c>
      <c r="G203" t="s">
        <v>18</v>
      </c>
      <c r="H203" t="s">
        <v>26</v>
      </c>
      <c r="I203">
        <v>35163</v>
      </c>
      <c r="J203">
        <v>250</v>
      </c>
      <c r="K203">
        <v>21222</v>
      </c>
      <c r="L203">
        <v>33671</v>
      </c>
      <c r="M203">
        <v>15</v>
      </c>
      <c r="N203">
        <v>6336.7181</v>
      </c>
      <c r="O203" s="7">
        <f>IFERROR(Table1[[#This Row],[Clicks]]/Table1[[#This Row],[Impressions]],0)</f>
        <v>7.1097460398714561E-3</v>
      </c>
      <c r="P203" s="5">
        <f>IFERROR(Table1[[#This Row],[Total Conversions]]/Table1[[#This Row],[Clicks]],0)</f>
        <v>0.06</v>
      </c>
      <c r="Q203" s="10">
        <f>IFERROR(Table1[[#This Row],[Gross Cost]]/Table1[[#This Row],[Total Conversions]],0)</f>
        <v>422.44787333333335</v>
      </c>
      <c r="R203" s="10">
        <f>IFERROR(Table1[[#This Row],[Gross Cost]]/(Table1[[#This Row],[Impressions]]/1000),0)</f>
        <v>180.20982566902711</v>
      </c>
      <c r="S203" s="5">
        <f>IFERROR(Table1[[#This Row],[Viewable Impressions]]/Table1[[#This Row],[Measurable Impressions]],0)</f>
        <v>0.63027531109857149</v>
      </c>
      <c r="T203" s="10">
        <f>IFERROR(1000*Table1[[#This Row],[Gross Cost]]/Table1[[#This Row],[Viewable Impressions]],0)</f>
        <v>298.59193761191216</v>
      </c>
      <c r="U203" s="10"/>
    </row>
    <row r="204" spans="1:21" x14ac:dyDescent="0.2">
      <c r="A204" t="s">
        <v>378</v>
      </c>
      <c r="B204" t="s">
        <v>21</v>
      </c>
      <c r="C204" t="s">
        <v>15</v>
      </c>
      <c r="D204" t="s">
        <v>77</v>
      </c>
      <c r="E204" t="str">
        <f>TRIM(RIGHT(Table1[[#This Row],[Location]],LEN(Table1[[#This Row],[Location]])-FIND(",",Table1[[#This Row],[Location]])))</f>
        <v>New York</v>
      </c>
      <c r="F204" t="s">
        <v>377</v>
      </c>
      <c r="G204" t="s">
        <v>35</v>
      </c>
      <c r="H204" t="s">
        <v>26</v>
      </c>
      <c r="I204">
        <v>26304</v>
      </c>
      <c r="J204">
        <v>75</v>
      </c>
      <c r="K204">
        <v>12354</v>
      </c>
      <c r="L204">
        <v>17500</v>
      </c>
      <c r="M204">
        <v>11</v>
      </c>
      <c r="N204">
        <v>4727.8139160000001</v>
      </c>
      <c r="O204" s="7">
        <f>IFERROR(Table1[[#This Row],[Clicks]]/Table1[[#This Row],[Impressions]],0)</f>
        <v>2.8512773722627737E-3</v>
      </c>
      <c r="P204" s="5">
        <f>IFERROR(Table1[[#This Row],[Total Conversions]]/Table1[[#This Row],[Clicks]],0)</f>
        <v>0.14666666666666667</v>
      </c>
      <c r="Q204" s="10">
        <f>IFERROR(Table1[[#This Row],[Gross Cost]]/Table1[[#This Row],[Total Conversions]],0)</f>
        <v>429.80126509090911</v>
      </c>
      <c r="R204" s="10">
        <f>IFERROR(Table1[[#This Row],[Gross Cost]]/(Table1[[#This Row],[Impressions]]/1000),0)</f>
        <v>179.73745118613141</v>
      </c>
      <c r="S204" s="5">
        <f>IFERROR(Table1[[#This Row],[Viewable Impressions]]/Table1[[#This Row],[Measurable Impressions]],0)</f>
        <v>0.70594285714285709</v>
      </c>
      <c r="T204" s="10">
        <f>IFERROR(1000*Table1[[#This Row],[Gross Cost]]/Table1[[#This Row],[Viewable Impressions]],0)</f>
        <v>382.69499077221951</v>
      </c>
      <c r="U204" s="10"/>
    </row>
    <row r="205" spans="1:21" x14ac:dyDescent="0.2">
      <c r="A205" t="s">
        <v>650</v>
      </c>
      <c r="B205" t="s">
        <v>14</v>
      </c>
      <c r="C205" t="s">
        <v>15</v>
      </c>
      <c r="D205" t="s">
        <v>470</v>
      </c>
      <c r="E205" t="str">
        <f>TRIM(RIGHT(Table1[[#This Row],[Location]],LEN(Table1[[#This Row],[Location]])-FIND(",",Table1[[#This Row],[Location]])))</f>
        <v>Florida</v>
      </c>
      <c r="F205" t="s">
        <v>651</v>
      </c>
      <c r="G205" t="s">
        <v>18</v>
      </c>
      <c r="H205" t="s">
        <v>26</v>
      </c>
      <c r="I205">
        <v>10883</v>
      </c>
      <c r="J205">
        <v>46</v>
      </c>
      <c r="K205">
        <v>1652</v>
      </c>
      <c r="L205">
        <v>8869</v>
      </c>
      <c r="M205">
        <v>16</v>
      </c>
      <c r="N205">
        <v>1942.482395</v>
      </c>
      <c r="O205" s="7">
        <f>IFERROR(Table1[[#This Row],[Clicks]]/Table1[[#This Row],[Impressions]],0)</f>
        <v>4.2267757052283379E-3</v>
      </c>
      <c r="P205" s="5">
        <f>IFERROR(Table1[[#This Row],[Total Conversions]]/Table1[[#This Row],[Clicks]],0)</f>
        <v>0.34782608695652173</v>
      </c>
      <c r="Q205" s="10">
        <f>IFERROR(Table1[[#This Row],[Gross Cost]]/Table1[[#This Row],[Total Conversions]],0)</f>
        <v>121.4051496875</v>
      </c>
      <c r="R205" s="10">
        <f>IFERROR(Table1[[#This Row],[Gross Cost]]/(Table1[[#This Row],[Impressions]]/1000),0)</f>
        <v>178.48776945695121</v>
      </c>
      <c r="S205" s="5">
        <f>IFERROR(Table1[[#This Row],[Viewable Impressions]]/Table1[[#This Row],[Measurable Impressions]],0)</f>
        <v>0.18626677190213101</v>
      </c>
      <c r="T205" s="10">
        <f>IFERROR(1000*Table1[[#This Row],[Gross Cost]]/Table1[[#This Row],[Viewable Impressions]],0)</f>
        <v>1175.8368008474577</v>
      </c>
      <c r="U205" s="10"/>
    </row>
    <row r="206" spans="1:21" x14ac:dyDescent="0.2">
      <c r="A206" t="s">
        <v>648</v>
      </c>
      <c r="B206" t="s">
        <v>21</v>
      </c>
      <c r="C206" t="s">
        <v>22</v>
      </c>
      <c r="D206" t="s">
        <v>28</v>
      </c>
      <c r="E206" t="str">
        <f>TRIM(RIGHT(Table1[[#This Row],[Location]],LEN(Table1[[#This Row],[Location]])-FIND(",",Table1[[#This Row],[Location]])))</f>
        <v>California</v>
      </c>
      <c r="F206" t="s">
        <v>649</v>
      </c>
      <c r="G206" t="s">
        <v>25</v>
      </c>
      <c r="H206" t="s">
        <v>26</v>
      </c>
      <c r="I206">
        <v>39881</v>
      </c>
      <c r="J206">
        <v>125</v>
      </c>
      <c r="K206">
        <v>6331</v>
      </c>
      <c r="L206">
        <v>36245</v>
      </c>
      <c r="M206">
        <v>10</v>
      </c>
      <c r="N206">
        <v>7098.8897059999999</v>
      </c>
      <c r="O206" s="7">
        <f>IFERROR(Table1[[#This Row],[Clicks]]/Table1[[#This Row],[Impressions]],0)</f>
        <v>3.1343246157318023E-3</v>
      </c>
      <c r="P206" s="5">
        <f>IFERROR(Table1[[#This Row],[Total Conversions]]/Table1[[#This Row],[Clicks]],0)</f>
        <v>0.08</v>
      </c>
      <c r="Q206" s="10">
        <f>IFERROR(Table1[[#This Row],[Gross Cost]]/Table1[[#This Row],[Total Conversions]],0)</f>
        <v>709.88897059999999</v>
      </c>
      <c r="R206" s="10">
        <f>IFERROR(Table1[[#This Row],[Gross Cost]]/(Table1[[#This Row],[Impressions]]/1000),0)</f>
        <v>178.00179799904717</v>
      </c>
      <c r="S206" s="5">
        <f>IFERROR(Table1[[#This Row],[Viewable Impressions]]/Table1[[#This Row],[Measurable Impressions]],0)</f>
        <v>0.17467236860256588</v>
      </c>
      <c r="T206" s="10">
        <f>IFERROR(1000*Table1[[#This Row],[Gross Cost]]/Table1[[#This Row],[Viewable Impressions]],0)</f>
        <v>1121.2904290001579</v>
      </c>
      <c r="U206" s="10"/>
    </row>
    <row r="207" spans="1:21" x14ac:dyDescent="0.2">
      <c r="A207" t="s">
        <v>822</v>
      </c>
      <c r="B207" t="s">
        <v>21</v>
      </c>
      <c r="C207" t="s">
        <v>15</v>
      </c>
      <c r="D207" t="s">
        <v>38</v>
      </c>
      <c r="E207" t="str">
        <f>TRIM(RIGHT(Table1[[#This Row],[Location]],LEN(Table1[[#This Row],[Location]])-FIND(",",Table1[[#This Row],[Location]])))</f>
        <v>Tennessee</v>
      </c>
      <c r="F207" t="s">
        <v>818</v>
      </c>
      <c r="G207" t="s">
        <v>25</v>
      </c>
      <c r="H207" t="s">
        <v>26</v>
      </c>
      <c r="I207">
        <v>12488</v>
      </c>
      <c r="J207">
        <v>99</v>
      </c>
      <c r="K207">
        <v>4021</v>
      </c>
      <c r="L207">
        <v>11403</v>
      </c>
      <c r="M207">
        <v>4</v>
      </c>
      <c r="N207">
        <v>2176.6574690000002</v>
      </c>
      <c r="O207" s="7">
        <f>IFERROR(Table1[[#This Row],[Clicks]]/Table1[[#This Row],[Impressions]],0)</f>
        <v>7.9276105060858432E-3</v>
      </c>
      <c r="P207" s="5">
        <f>IFERROR(Table1[[#This Row],[Total Conversions]]/Table1[[#This Row],[Clicks]],0)</f>
        <v>4.0404040404040407E-2</v>
      </c>
      <c r="Q207" s="10">
        <f>IFERROR(Table1[[#This Row],[Gross Cost]]/Table1[[#This Row],[Total Conversions]],0)</f>
        <v>544.16436725000005</v>
      </c>
      <c r="R207" s="10">
        <f>IFERROR(Table1[[#This Row],[Gross Cost]]/(Table1[[#This Row],[Impressions]]/1000),0)</f>
        <v>174.29992544843051</v>
      </c>
      <c r="S207" s="5">
        <f>IFERROR(Table1[[#This Row],[Viewable Impressions]]/Table1[[#This Row],[Measurable Impressions]],0)</f>
        <v>0.3526265017977725</v>
      </c>
      <c r="T207" s="10">
        <f>IFERROR(1000*Table1[[#This Row],[Gross Cost]]/Table1[[#This Row],[Viewable Impressions]],0)</f>
        <v>541.32242452126343</v>
      </c>
      <c r="U207" s="10"/>
    </row>
    <row r="208" spans="1:21" x14ac:dyDescent="0.2">
      <c r="A208" t="s">
        <v>123</v>
      </c>
      <c r="B208" t="s">
        <v>21</v>
      </c>
      <c r="C208" t="s">
        <v>15</v>
      </c>
      <c r="D208" t="s">
        <v>34</v>
      </c>
      <c r="E208" t="str">
        <f>TRIM(RIGHT(Table1[[#This Row],[Location]],LEN(Table1[[#This Row],[Location]])-FIND(",",Table1[[#This Row],[Location]])))</f>
        <v>Illinois</v>
      </c>
      <c r="F208" t="s">
        <v>114</v>
      </c>
      <c r="G208" t="s">
        <v>18</v>
      </c>
      <c r="H208" t="s">
        <v>26</v>
      </c>
      <c r="I208">
        <v>26715</v>
      </c>
      <c r="J208">
        <v>100</v>
      </c>
      <c r="K208">
        <v>12287</v>
      </c>
      <c r="L208">
        <v>25003</v>
      </c>
      <c r="M208">
        <v>6</v>
      </c>
      <c r="N208">
        <v>4623.0896720000001</v>
      </c>
      <c r="O208" s="7">
        <f>IFERROR(Table1[[#This Row],[Clicks]]/Table1[[#This Row],[Impressions]],0)</f>
        <v>3.7432154220475387E-3</v>
      </c>
      <c r="P208" s="5">
        <f>IFERROR(Table1[[#This Row],[Total Conversions]]/Table1[[#This Row],[Clicks]],0)</f>
        <v>0.06</v>
      </c>
      <c r="Q208" s="10">
        <f>IFERROR(Table1[[#This Row],[Gross Cost]]/Table1[[#This Row],[Total Conversions]],0)</f>
        <v>770.51494533333334</v>
      </c>
      <c r="R208" s="10">
        <f>IFERROR(Table1[[#This Row],[Gross Cost]]/(Table1[[#This Row],[Impressions]]/1000),0)</f>
        <v>173.05220557739099</v>
      </c>
      <c r="S208" s="5">
        <f>IFERROR(Table1[[#This Row],[Viewable Impressions]]/Table1[[#This Row],[Measurable Impressions]],0)</f>
        <v>0.49142102947646282</v>
      </c>
      <c r="T208" s="10">
        <f>IFERROR(1000*Table1[[#This Row],[Gross Cost]]/Table1[[#This Row],[Viewable Impressions]],0)</f>
        <v>376.25862065597789</v>
      </c>
      <c r="U208" s="10"/>
    </row>
    <row r="209" spans="1:21" x14ac:dyDescent="0.2">
      <c r="A209" t="s">
        <v>554</v>
      </c>
      <c r="B209" t="s">
        <v>14</v>
      </c>
      <c r="C209" t="s">
        <v>30</v>
      </c>
      <c r="D209" t="s">
        <v>54</v>
      </c>
      <c r="E209" t="str">
        <f>TRIM(RIGHT(Table1[[#This Row],[Location]],LEN(Table1[[#This Row],[Location]])-FIND(",",Table1[[#This Row],[Location]])))</f>
        <v>Florida</v>
      </c>
      <c r="F209" t="s">
        <v>538</v>
      </c>
      <c r="G209" t="s">
        <v>18</v>
      </c>
      <c r="H209" t="s">
        <v>26</v>
      </c>
      <c r="I209">
        <v>12988</v>
      </c>
      <c r="J209">
        <v>69</v>
      </c>
      <c r="K209">
        <v>6514</v>
      </c>
      <c r="L209">
        <v>9378</v>
      </c>
      <c r="M209">
        <v>4</v>
      </c>
      <c r="N209">
        <v>2236.485099</v>
      </c>
      <c r="O209" s="7">
        <f>IFERROR(Table1[[#This Row],[Clicks]]/Table1[[#This Row],[Impressions]],0)</f>
        <v>5.3125962426855558E-3</v>
      </c>
      <c r="P209" s="5">
        <f>IFERROR(Table1[[#This Row],[Total Conversions]]/Table1[[#This Row],[Clicks]],0)</f>
        <v>5.7971014492753624E-2</v>
      </c>
      <c r="Q209" s="10">
        <f>IFERROR(Table1[[#This Row],[Gross Cost]]/Table1[[#This Row],[Total Conversions]],0)</f>
        <v>559.12127475</v>
      </c>
      <c r="R209" s="10">
        <f>IFERROR(Table1[[#This Row],[Gross Cost]]/(Table1[[#This Row],[Impressions]]/1000),0)</f>
        <v>172.19626570680629</v>
      </c>
      <c r="S209" s="5">
        <f>IFERROR(Table1[[#This Row],[Viewable Impressions]]/Table1[[#This Row],[Measurable Impressions]],0)</f>
        <v>0.69460439326082324</v>
      </c>
      <c r="T209" s="10">
        <f>IFERROR(1000*Table1[[#This Row],[Gross Cost]]/Table1[[#This Row],[Viewable Impressions]],0)</f>
        <v>343.33513954559407</v>
      </c>
      <c r="U209" s="10"/>
    </row>
    <row r="210" spans="1:21" x14ac:dyDescent="0.2">
      <c r="A210" t="s">
        <v>654</v>
      </c>
      <c r="B210" t="s">
        <v>21</v>
      </c>
      <c r="C210" t="s">
        <v>15</v>
      </c>
      <c r="D210" t="s">
        <v>23</v>
      </c>
      <c r="E210" t="str">
        <f>TRIM(RIGHT(Table1[[#This Row],[Location]],LEN(Table1[[#This Row],[Location]])-FIND(",",Table1[[#This Row],[Location]])))</f>
        <v>Florida</v>
      </c>
      <c r="F210" t="s">
        <v>653</v>
      </c>
      <c r="G210" t="s">
        <v>18</v>
      </c>
      <c r="H210" t="s">
        <v>26</v>
      </c>
      <c r="I210">
        <v>7248</v>
      </c>
      <c r="J210">
        <v>10</v>
      </c>
      <c r="K210">
        <v>3988</v>
      </c>
      <c r="L210">
        <v>6863</v>
      </c>
      <c r="M210">
        <v>7</v>
      </c>
      <c r="N210">
        <v>1247</v>
      </c>
      <c r="O210" s="7">
        <f>IFERROR(Table1[[#This Row],[Clicks]]/Table1[[#This Row],[Impressions]],0)</f>
        <v>1.3796909492273732E-3</v>
      </c>
      <c r="P210" s="5">
        <f>IFERROR(Table1[[#This Row],[Total Conversions]]/Table1[[#This Row],[Clicks]],0)</f>
        <v>0.7</v>
      </c>
      <c r="Q210" s="10">
        <f>IFERROR(Table1[[#This Row],[Gross Cost]]/Table1[[#This Row],[Total Conversions]],0)</f>
        <v>178.14285714285714</v>
      </c>
      <c r="R210" s="10">
        <f>IFERROR(Table1[[#This Row],[Gross Cost]]/(Table1[[#This Row],[Impressions]]/1000),0)</f>
        <v>172.04746136865342</v>
      </c>
      <c r="S210" s="5">
        <f>IFERROR(Table1[[#This Row],[Viewable Impressions]]/Table1[[#This Row],[Measurable Impressions]],0)</f>
        <v>0.5810869881975812</v>
      </c>
      <c r="T210" s="10">
        <f>IFERROR(1000*Table1[[#This Row],[Gross Cost]]/Table1[[#This Row],[Viewable Impressions]],0)</f>
        <v>312.68806419257771</v>
      </c>
      <c r="U210" s="10"/>
    </row>
    <row r="211" spans="1:21" x14ac:dyDescent="0.2">
      <c r="A211" t="s">
        <v>499</v>
      </c>
      <c r="B211" t="s">
        <v>21</v>
      </c>
      <c r="C211" t="s">
        <v>15</v>
      </c>
      <c r="D211" t="s">
        <v>34</v>
      </c>
      <c r="E211" t="str">
        <f>TRIM(RIGHT(Table1[[#This Row],[Location]],LEN(Table1[[#This Row],[Location]])-FIND(",",Table1[[#This Row],[Location]])))</f>
        <v>Illinois</v>
      </c>
      <c r="F211" t="s">
        <v>492</v>
      </c>
      <c r="G211" t="s">
        <v>18</v>
      </c>
      <c r="H211" t="s">
        <v>26</v>
      </c>
      <c r="I211">
        <v>9222</v>
      </c>
      <c r="J211">
        <v>33</v>
      </c>
      <c r="K211">
        <v>5352</v>
      </c>
      <c r="L211">
        <v>8141</v>
      </c>
      <c r="M211">
        <v>2</v>
      </c>
      <c r="N211">
        <v>1583.1643019999999</v>
      </c>
      <c r="O211" s="7">
        <f>IFERROR(Table1[[#This Row],[Clicks]]/Table1[[#This Row],[Impressions]],0)</f>
        <v>3.5783994795055302E-3</v>
      </c>
      <c r="P211" s="5">
        <f>IFERROR(Table1[[#This Row],[Total Conversions]]/Table1[[#This Row],[Clicks]],0)</f>
        <v>6.0606060606060608E-2</v>
      </c>
      <c r="Q211" s="10">
        <f>IFERROR(Table1[[#This Row],[Gross Cost]]/Table1[[#This Row],[Total Conversions]],0)</f>
        <v>791.58215099999995</v>
      </c>
      <c r="R211" s="10">
        <f>IFERROR(Table1[[#This Row],[Gross Cost]]/(Table1[[#This Row],[Impressions]]/1000),0)</f>
        <v>171.67255497722837</v>
      </c>
      <c r="S211" s="5">
        <f>IFERROR(Table1[[#This Row],[Viewable Impressions]]/Table1[[#This Row],[Measurable Impressions]],0)</f>
        <v>0.65741309421446992</v>
      </c>
      <c r="T211" s="10">
        <f>IFERROR(1000*Table1[[#This Row],[Gross Cost]]/Table1[[#This Row],[Viewable Impressions]],0)</f>
        <v>295.80797869955154</v>
      </c>
      <c r="U211" s="10"/>
    </row>
    <row r="212" spans="1:21" x14ac:dyDescent="0.2">
      <c r="A212" t="s">
        <v>228</v>
      </c>
      <c r="B212" t="s">
        <v>21</v>
      </c>
      <c r="C212" t="s">
        <v>15</v>
      </c>
      <c r="D212" t="s">
        <v>83</v>
      </c>
      <c r="E212" t="str">
        <f>TRIM(RIGHT(Table1[[#This Row],[Location]],LEN(Table1[[#This Row],[Location]])-FIND(",",Table1[[#This Row],[Location]])))</f>
        <v>Florida</v>
      </c>
      <c r="F212" t="s">
        <v>227</v>
      </c>
      <c r="G212" t="s">
        <v>35</v>
      </c>
      <c r="H212" t="s">
        <v>26</v>
      </c>
      <c r="I212">
        <v>12451</v>
      </c>
      <c r="J212">
        <v>30</v>
      </c>
      <c r="K212">
        <v>2987</v>
      </c>
      <c r="L212">
        <v>11295</v>
      </c>
      <c r="M212">
        <v>4</v>
      </c>
      <c r="N212">
        <v>2127.323828</v>
      </c>
      <c r="O212" s="7">
        <f>IFERROR(Table1[[#This Row],[Clicks]]/Table1[[#This Row],[Impressions]],0)</f>
        <v>2.4094450244960242E-3</v>
      </c>
      <c r="P212" s="5">
        <f>IFERROR(Table1[[#This Row],[Total Conversions]]/Table1[[#This Row],[Clicks]],0)</f>
        <v>0.13333333333333333</v>
      </c>
      <c r="Q212" s="10">
        <f>IFERROR(Table1[[#This Row],[Gross Cost]]/Table1[[#This Row],[Total Conversions]],0)</f>
        <v>531.83095700000001</v>
      </c>
      <c r="R212" s="10">
        <f>IFERROR(Table1[[#This Row],[Gross Cost]]/(Table1[[#This Row],[Impressions]]/1000),0)</f>
        <v>170.85566042888121</v>
      </c>
      <c r="S212" s="5">
        <f>IFERROR(Table1[[#This Row],[Viewable Impressions]]/Table1[[#This Row],[Measurable Impressions]],0)</f>
        <v>0.26445329791943339</v>
      </c>
      <c r="T212" s="10">
        <f>IFERROR(1000*Table1[[#This Row],[Gross Cost]]/Table1[[#This Row],[Viewable Impressions]],0)</f>
        <v>712.19411717442256</v>
      </c>
      <c r="U212" s="10"/>
    </row>
    <row r="213" spans="1:21" x14ac:dyDescent="0.2">
      <c r="A213" t="s">
        <v>502</v>
      </c>
      <c r="B213" t="s">
        <v>21</v>
      </c>
      <c r="C213" t="s">
        <v>22</v>
      </c>
      <c r="D213" t="s">
        <v>172</v>
      </c>
      <c r="E213" t="str">
        <f>TRIM(RIGHT(Table1[[#This Row],[Location]],LEN(Table1[[#This Row],[Location]])-FIND(",",Table1[[#This Row],[Location]])))</f>
        <v>Tennessee</v>
      </c>
      <c r="F213" t="s">
        <v>503</v>
      </c>
      <c r="G213" t="s">
        <v>166</v>
      </c>
      <c r="H213" t="s">
        <v>26</v>
      </c>
      <c r="I213">
        <v>9014</v>
      </c>
      <c r="J213">
        <v>26</v>
      </c>
      <c r="K213">
        <v>5054</v>
      </c>
      <c r="L213">
        <v>7227</v>
      </c>
      <c r="M213">
        <v>4</v>
      </c>
      <c r="N213">
        <v>1539.60069</v>
      </c>
      <c r="O213" s="7">
        <f>IFERROR(Table1[[#This Row],[Clicks]]/Table1[[#This Row],[Impressions]],0)</f>
        <v>2.8844020412691369E-3</v>
      </c>
      <c r="P213" s="5">
        <f>IFERROR(Table1[[#This Row],[Total Conversions]]/Table1[[#This Row],[Clicks]],0)</f>
        <v>0.15384615384615385</v>
      </c>
      <c r="Q213" s="10">
        <f>IFERROR(Table1[[#This Row],[Gross Cost]]/Table1[[#This Row],[Total Conversions]],0)</f>
        <v>384.9001725</v>
      </c>
      <c r="R213" s="10">
        <f>IFERROR(Table1[[#This Row],[Gross Cost]]/(Table1[[#This Row],[Impressions]]/1000),0)</f>
        <v>170.80105280674508</v>
      </c>
      <c r="S213" s="5">
        <f>IFERROR(Table1[[#This Row],[Viewable Impressions]]/Table1[[#This Row],[Measurable Impressions]],0)</f>
        <v>0.6993219869932199</v>
      </c>
      <c r="T213" s="10">
        <f>IFERROR(1000*Table1[[#This Row],[Gross Cost]]/Table1[[#This Row],[Viewable Impressions]],0)</f>
        <v>304.63013256826275</v>
      </c>
      <c r="U213" s="10"/>
    </row>
    <row r="214" spans="1:21" x14ac:dyDescent="0.2">
      <c r="A214" t="s">
        <v>886</v>
      </c>
      <c r="B214" t="s">
        <v>14</v>
      </c>
      <c r="C214" t="s">
        <v>41</v>
      </c>
      <c r="D214" t="s">
        <v>355</v>
      </c>
      <c r="E214" t="str">
        <f>TRIM(RIGHT(Table1[[#This Row],[Location]],LEN(Table1[[#This Row],[Location]])-FIND(",",Table1[[#This Row],[Location]])))</f>
        <v>Illinois</v>
      </c>
      <c r="F214" t="s">
        <v>885</v>
      </c>
      <c r="G214" t="s">
        <v>18</v>
      </c>
      <c r="H214" t="s">
        <v>19</v>
      </c>
      <c r="I214">
        <v>11043</v>
      </c>
      <c r="J214">
        <v>125</v>
      </c>
      <c r="K214">
        <v>4547</v>
      </c>
      <c r="L214">
        <v>9666</v>
      </c>
      <c r="M214">
        <v>13</v>
      </c>
      <c r="N214">
        <v>1858.132171</v>
      </c>
      <c r="O214" s="7">
        <f>IFERROR(Table1[[#This Row],[Clicks]]/Table1[[#This Row],[Impressions]],0)</f>
        <v>1.1319387847505207E-2</v>
      </c>
      <c r="P214" s="5">
        <f>IFERROR(Table1[[#This Row],[Total Conversions]]/Table1[[#This Row],[Clicks]],0)</f>
        <v>0.104</v>
      </c>
      <c r="Q214" s="10">
        <f>IFERROR(Table1[[#This Row],[Gross Cost]]/Table1[[#This Row],[Total Conversions]],0)</f>
        <v>142.93324392307693</v>
      </c>
      <c r="R214" s="10">
        <f>IFERROR(Table1[[#This Row],[Gross Cost]]/(Table1[[#This Row],[Impressions]]/1000),0)</f>
        <v>168.26334972380695</v>
      </c>
      <c r="S214" s="5">
        <f>IFERROR(Table1[[#This Row],[Viewable Impressions]]/Table1[[#This Row],[Measurable Impressions]],0)</f>
        <v>0.47041175253465756</v>
      </c>
      <c r="T214" s="10">
        <f>IFERROR(1000*Table1[[#This Row],[Gross Cost]]/Table1[[#This Row],[Viewable Impressions]],0)</f>
        <v>408.65013657356496</v>
      </c>
      <c r="U214" s="10"/>
    </row>
    <row r="215" spans="1:21" x14ac:dyDescent="0.2">
      <c r="A215" t="s">
        <v>193</v>
      </c>
      <c r="B215" t="s">
        <v>60</v>
      </c>
      <c r="C215" t="s">
        <v>22</v>
      </c>
      <c r="D215" t="s">
        <v>23</v>
      </c>
      <c r="E215" t="str">
        <f>TRIM(RIGHT(Table1[[#This Row],[Location]],LEN(Table1[[#This Row],[Location]])-FIND(",",Table1[[#This Row],[Location]])))</f>
        <v>Florida</v>
      </c>
      <c r="F215" t="s">
        <v>194</v>
      </c>
      <c r="G215" t="s">
        <v>25</v>
      </c>
      <c r="H215" t="s">
        <v>26</v>
      </c>
      <c r="I215">
        <v>8862</v>
      </c>
      <c r="J215">
        <v>30</v>
      </c>
      <c r="K215">
        <v>1359</v>
      </c>
      <c r="L215">
        <v>7114</v>
      </c>
      <c r="M215">
        <v>1</v>
      </c>
      <c r="N215">
        <v>1481.9451570000001</v>
      </c>
      <c r="O215" s="7">
        <f>IFERROR(Table1[[#This Row],[Clicks]]/Table1[[#This Row],[Impressions]],0)</f>
        <v>3.3852403520649968E-3</v>
      </c>
      <c r="P215" s="5">
        <f>IFERROR(Table1[[#This Row],[Total Conversions]]/Table1[[#This Row],[Clicks]],0)</f>
        <v>3.3333333333333333E-2</v>
      </c>
      <c r="Q215" s="10">
        <f>IFERROR(Table1[[#This Row],[Gross Cost]]/Table1[[#This Row],[Total Conversions]],0)</f>
        <v>1481.9451570000001</v>
      </c>
      <c r="R215" s="10">
        <f>IFERROR(Table1[[#This Row],[Gross Cost]]/(Table1[[#This Row],[Impressions]]/1000),0)</f>
        <v>167.22468483412322</v>
      </c>
      <c r="S215" s="5">
        <f>IFERROR(Table1[[#This Row],[Viewable Impressions]]/Table1[[#This Row],[Measurable Impressions]],0)</f>
        <v>0.1910317683441102</v>
      </c>
      <c r="T215" s="10">
        <f>IFERROR(1000*Table1[[#This Row],[Gross Cost]]/Table1[[#This Row],[Viewable Impressions]],0)</f>
        <v>1090.4673708609273</v>
      </c>
      <c r="U215" s="10"/>
    </row>
    <row r="216" spans="1:21" x14ac:dyDescent="0.2">
      <c r="A216" t="s">
        <v>322</v>
      </c>
      <c r="B216" t="s">
        <v>14</v>
      </c>
      <c r="C216" t="s">
        <v>41</v>
      </c>
      <c r="D216" t="s">
        <v>34</v>
      </c>
      <c r="E216" t="str">
        <f>TRIM(RIGHT(Table1[[#This Row],[Location]],LEN(Table1[[#This Row],[Location]])-FIND(",",Table1[[#This Row],[Location]])))</f>
        <v>Illinois</v>
      </c>
      <c r="F216" t="s">
        <v>296</v>
      </c>
      <c r="G216" t="s">
        <v>45</v>
      </c>
      <c r="H216" t="s">
        <v>26</v>
      </c>
      <c r="I216">
        <v>9210</v>
      </c>
      <c r="J216">
        <v>80</v>
      </c>
      <c r="K216">
        <v>3798</v>
      </c>
      <c r="L216">
        <v>8619</v>
      </c>
      <c r="M216">
        <v>2</v>
      </c>
      <c r="N216">
        <v>1536.629068</v>
      </c>
      <c r="O216" s="7">
        <f>IFERROR(Table1[[#This Row],[Clicks]]/Table1[[#This Row],[Impressions]],0)</f>
        <v>8.6862106406080351E-3</v>
      </c>
      <c r="P216" s="5">
        <f>IFERROR(Table1[[#This Row],[Total Conversions]]/Table1[[#This Row],[Clicks]],0)</f>
        <v>2.5000000000000001E-2</v>
      </c>
      <c r="Q216" s="10">
        <f>IFERROR(Table1[[#This Row],[Gross Cost]]/Table1[[#This Row],[Total Conversions]],0)</f>
        <v>768.31453399999998</v>
      </c>
      <c r="R216" s="10">
        <f>IFERROR(Table1[[#This Row],[Gross Cost]]/(Table1[[#This Row],[Impressions]]/1000),0)</f>
        <v>166.84354701411507</v>
      </c>
      <c r="S216" s="5">
        <f>IFERROR(Table1[[#This Row],[Viewable Impressions]]/Table1[[#This Row],[Measurable Impressions]],0)</f>
        <v>0.44065436825617821</v>
      </c>
      <c r="T216" s="10">
        <f>IFERROR(1000*Table1[[#This Row],[Gross Cost]]/Table1[[#This Row],[Viewable Impressions]],0)</f>
        <v>404.58901211163771</v>
      </c>
      <c r="U216" s="10"/>
    </row>
    <row r="217" spans="1:21" x14ac:dyDescent="0.2">
      <c r="A217" t="s">
        <v>678</v>
      </c>
      <c r="B217" t="s">
        <v>60</v>
      </c>
      <c r="C217" t="s">
        <v>15</v>
      </c>
      <c r="D217" t="s">
        <v>182</v>
      </c>
      <c r="E217" t="str">
        <f>TRIM(RIGHT(Table1[[#This Row],[Location]],LEN(Table1[[#This Row],[Location]])-FIND(",",Table1[[#This Row],[Location]])))</f>
        <v>Tennessee</v>
      </c>
      <c r="F217" t="s">
        <v>677</v>
      </c>
      <c r="G217" t="s">
        <v>18</v>
      </c>
      <c r="H217" t="s">
        <v>26</v>
      </c>
      <c r="I217">
        <v>15602</v>
      </c>
      <c r="J217">
        <v>50</v>
      </c>
      <c r="K217">
        <v>7676</v>
      </c>
      <c r="L217">
        <v>13775</v>
      </c>
      <c r="M217">
        <v>1</v>
      </c>
      <c r="N217">
        <v>2600.894327</v>
      </c>
      <c r="O217" s="7">
        <f>IFERROR(Table1[[#This Row],[Clicks]]/Table1[[#This Row],[Impressions]],0)</f>
        <v>3.2047173439302655E-3</v>
      </c>
      <c r="P217" s="5">
        <f>IFERROR(Table1[[#This Row],[Total Conversions]]/Table1[[#This Row],[Clicks]],0)</f>
        <v>0.02</v>
      </c>
      <c r="Q217" s="10">
        <f>IFERROR(Table1[[#This Row],[Gross Cost]]/Table1[[#This Row],[Total Conversions]],0)</f>
        <v>2600.894327</v>
      </c>
      <c r="R217" s="10">
        <f>IFERROR(Table1[[#This Row],[Gross Cost]]/(Table1[[#This Row],[Impressions]]/1000),0)</f>
        <v>166.7026231893347</v>
      </c>
      <c r="S217" s="5">
        <f>IFERROR(Table1[[#This Row],[Viewable Impressions]]/Table1[[#This Row],[Measurable Impressions]],0)</f>
        <v>0.55724137931034479</v>
      </c>
      <c r="T217" s="10">
        <f>IFERROR(1000*Table1[[#This Row],[Gross Cost]]/Table1[[#This Row],[Viewable Impressions]],0)</f>
        <v>338.83459184471081</v>
      </c>
      <c r="U217" s="10"/>
    </row>
    <row r="218" spans="1:21" x14ac:dyDescent="0.2">
      <c r="A218" t="s">
        <v>487</v>
      </c>
      <c r="B218" t="s">
        <v>21</v>
      </c>
      <c r="C218" t="s">
        <v>41</v>
      </c>
      <c r="D218" t="s">
        <v>77</v>
      </c>
      <c r="E218" t="str">
        <f>TRIM(RIGHT(Table1[[#This Row],[Location]],LEN(Table1[[#This Row],[Location]])-FIND(",",Table1[[#This Row],[Location]])))</f>
        <v>New York</v>
      </c>
      <c r="F218" t="s">
        <v>488</v>
      </c>
      <c r="G218" t="s">
        <v>47</v>
      </c>
      <c r="H218" t="s">
        <v>26</v>
      </c>
      <c r="I218">
        <v>21482</v>
      </c>
      <c r="J218">
        <v>67</v>
      </c>
      <c r="K218">
        <v>10473</v>
      </c>
      <c r="L218">
        <v>19679</v>
      </c>
      <c r="M218">
        <v>3</v>
      </c>
      <c r="N218">
        <v>3563.098841</v>
      </c>
      <c r="O218" s="7">
        <f>IFERROR(Table1[[#This Row],[Clicks]]/Table1[[#This Row],[Impressions]],0)</f>
        <v>3.1188902336840144E-3</v>
      </c>
      <c r="P218" s="5">
        <f>IFERROR(Table1[[#This Row],[Total Conversions]]/Table1[[#This Row],[Clicks]],0)</f>
        <v>4.4776119402985072E-2</v>
      </c>
      <c r="Q218" s="10">
        <f>IFERROR(Table1[[#This Row],[Gross Cost]]/Table1[[#This Row],[Total Conversions]],0)</f>
        <v>1187.6996136666667</v>
      </c>
      <c r="R218" s="10">
        <f>IFERROR(Table1[[#This Row],[Gross Cost]]/(Table1[[#This Row],[Impressions]]/1000),0)</f>
        <v>165.86439069919001</v>
      </c>
      <c r="S218" s="5">
        <f>IFERROR(Table1[[#This Row],[Viewable Impressions]]/Table1[[#This Row],[Measurable Impressions]],0)</f>
        <v>0.53219167640632148</v>
      </c>
      <c r="T218" s="10">
        <f>IFERROR(1000*Table1[[#This Row],[Gross Cost]]/Table1[[#This Row],[Viewable Impressions]],0)</f>
        <v>340.21759199847224</v>
      </c>
      <c r="U218" s="10"/>
    </row>
    <row r="219" spans="1:21" x14ac:dyDescent="0.2">
      <c r="A219" t="s">
        <v>805</v>
      </c>
      <c r="B219" t="s">
        <v>21</v>
      </c>
      <c r="C219" t="s">
        <v>15</v>
      </c>
      <c r="D219" t="s">
        <v>16</v>
      </c>
      <c r="E219" t="str">
        <f>TRIM(RIGHT(Table1[[#This Row],[Location]],LEN(Table1[[#This Row],[Location]])-FIND(",",Table1[[#This Row],[Location]])))</f>
        <v>California</v>
      </c>
      <c r="F219" t="s">
        <v>806</v>
      </c>
      <c r="G219" t="s">
        <v>160</v>
      </c>
      <c r="H219" t="s">
        <v>26</v>
      </c>
      <c r="I219">
        <v>11561</v>
      </c>
      <c r="J219">
        <v>87</v>
      </c>
      <c r="K219">
        <v>4063</v>
      </c>
      <c r="L219">
        <v>9941</v>
      </c>
      <c r="M219">
        <v>5</v>
      </c>
      <c r="N219">
        <v>1911.931953</v>
      </c>
      <c r="O219" s="7">
        <f>IFERROR(Table1[[#This Row],[Clicks]]/Table1[[#This Row],[Impressions]],0)</f>
        <v>7.525300579534642E-3</v>
      </c>
      <c r="P219" s="5">
        <f>IFERROR(Table1[[#This Row],[Total Conversions]]/Table1[[#This Row],[Clicks]],0)</f>
        <v>5.7471264367816091E-2</v>
      </c>
      <c r="Q219" s="10">
        <f>IFERROR(Table1[[#This Row],[Gross Cost]]/Table1[[#This Row],[Total Conversions]],0)</f>
        <v>382.38639060000003</v>
      </c>
      <c r="R219" s="10">
        <f>IFERROR(Table1[[#This Row],[Gross Cost]]/(Table1[[#This Row],[Impressions]]/1000),0)</f>
        <v>165.37773142461725</v>
      </c>
      <c r="S219" s="5">
        <f>IFERROR(Table1[[#This Row],[Viewable Impressions]]/Table1[[#This Row],[Measurable Impressions]],0)</f>
        <v>0.40871139724373806</v>
      </c>
      <c r="T219" s="10">
        <f>IFERROR(1000*Table1[[#This Row],[Gross Cost]]/Table1[[#This Row],[Viewable Impressions]],0)</f>
        <v>470.57148732463696</v>
      </c>
      <c r="U219" s="10"/>
    </row>
    <row r="220" spans="1:21" x14ac:dyDescent="0.2">
      <c r="A220" t="s">
        <v>920</v>
      </c>
      <c r="B220" t="s">
        <v>60</v>
      </c>
      <c r="C220" t="s">
        <v>22</v>
      </c>
      <c r="D220" t="s">
        <v>34</v>
      </c>
      <c r="E220" t="str">
        <f>TRIM(RIGHT(Table1[[#This Row],[Location]],LEN(Table1[[#This Row],[Location]])-FIND(",",Table1[[#This Row],[Location]])))</f>
        <v>Illinois</v>
      </c>
      <c r="F220" t="s">
        <v>918</v>
      </c>
      <c r="G220" t="s">
        <v>45</v>
      </c>
      <c r="H220" t="s">
        <v>26</v>
      </c>
      <c r="I220">
        <v>40929</v>
      </c>
      <c r="J220">
        <v>142</v>
      </c>
      <c r="K220">
        <v>9249</v>
      </c>
      <c r="L220">
        <v>31564</v>
      </c>
      <c r="M220">
        <v>8</v>
      </c>
      <c r="N220">
        <v>6764.5206369999996</v>
      </c>
      <c r="O220" s="7">
        <f>IFERROR(Table1[[#This Row],[Clicks]]/Table1[[#This Row],[Impressions]],0)</f>
        <v>3.4694226587505192E-3</v>
      </c>
      <c r="P220" s="5">
        <f>IFERROR(Table1[[#This Row],[Total Conversions]]/Table1[[#This Row],[Clicks]],0)</f>
        <v>5.6338028169014086E-2</v>
      </c>
      <c r="Q220" s="10">
        <f>IFERROR(Table1[[#This Row],[Gross Cost]]/Table1[[#This Row],[Total Conversions]],0)</f>
        <v>845.56507962499995</v>
      </c>
      <c r="R220" s="10">
        <f>IFERROR(Table1[[#This Row],[Gross Cost]]/(Table1[[#This Row],[Impressions]]/1000),0)</f>
        <v>165.27451530699503</v>
      </c>
      <c r="S220" s="5">
        <f>IFERROR(Table1[[#This Row],[Viewable Impressions]]/Table1[[#This Row],[Measurable Impressions]],0)</f>
        <v>0.29302369788366495</v>
      </c>
      <c r="T220" s="10">
        <f>IFERROR(1000*Table1[[#This Row],[Gross Cost]]/Table1[[#This Row],[Viewable Impressions]],0)</f>
        <v>731.37859628067895</v>
      </c>
      <c r="U220" s="10"/>
    </row>
    <row r="221" spans="1:21" x14ac:dyDescent="0.2">
      <c r="A221" t="s">
        <v>489</v>
      </c>
      <c r="B221" t="s">
        <v>60</v>
      </c>
      <c r="C221" t="s">
        <v>15</v>
      </c>
      <c r="D221" t="s">
        <v>16</v>
      </c>
      <c r="E221" t="str">
        <f>TRIM(RIGHT(Table1[[#This Row],[Location]],LEN(Table1[[#This Row],[Location]])-FIND(",",Table1[[#This Row],[Location]])))</f>
        <v>California</v>
      </c>
      <c r="F221" t="s">
        <v>488</v>
      </c>
      <c r="G221" t="s">
        <v>18</v>
      </c>
      <c r="H221" t="s">
        <v>26</v>
      </c>
      <c r="I221">
        <v>9178</v>
      </c>
      <c r="J221">
        <v>25</v>
      </c>
      <c r="K221">
        <v>4644</v>
      </c>
      <c r="L221">
        <v>8462</v>
      </c>
      <c r="M221">
        <v>2</v>
      </c>
      <c r="N221">
        <v>1503.205183</v>
      </c>
      <c r="O221" s="7">
        <f>IFERROR(Table1[[#This Row],[Clicks]]/Table1[[#This Row],[Impressions]],0)</f>
        <v>2.7239049901939421E-3</v>
      </c>
      <c r="P221" s="5">
        <f>IFERROR(Table1[[#This Row],[Total Conversions]]/Table1[[#This Row],[Clicks]],0)</f>
        <v>0.08</v>
      </c>
      <c r="Q221" s="10">
        <f>IFERROR(Table1[[#This Row],[Gross Cost]]/Table1[[#This Row],[Total Conversions]],0)</f>
        <v>751.60259150000002</v>
      </c>
      <c r="R221" s="10">
        <f>IFERROR(Table1[[#This Row],[Gross Cost]]/(Table1[[#This Row],[Impressions]]/1000),0)</f>
        <v>163.78352397036392</v>
      </c>
      <c r="S221" s="5">
        <f>IFERROR(Table1[[#This Row],[Viewable Impressions]]/Table1[[#This Row],[Measurable Impressions]],0)</f>
        <v>0.54880642874025054</v>
      </c>
      <c r="T221" s="10">
        <f>IFERROR(1000*Table1[[#This Row],[Gross Cost]]/Table1[[#This Row],[Viewable Impressions]],0)</f>
        <v>323.6875932385874</v>
      </c>
      <c r="U221" s="10"/>
    </row>
    <row r="222" spans="1:21" x14ac:dyDescent="0.2">
      <c r="A222" t="s">
        <v>667</v>
      </c>
      <c r="B222" t="s">
        <v>21</v>
      </c>
      <c r="C222" t="s">
        <v>15</v>
      </c>
      <c r="D222" t="s">
        <v>31</v>
      </c>
      <c r="E222" t="str">
        <f>TRIM(RIGHT(Table1[[#This Row],[Location]],LEN(Table1[[#This Row],[Location]])-FIND(",",Table1[[#This Row],[Location]])))</f>
        <v>Michigan</v>
      </c>
      <c r="F222" t="s">
        <v>668</v>
      </c>
      <c r="G222" t="s">
        <v>160</v>
      </c>
      <c r="H222" t="s">
        <v>26</v>
      </c>
      <c r="I222">
        <v>41513</v>
      </c>
      <c r="J222">
        <v>113</v>
      </c>
      <c r="K222">
        <v>20872</v>
      </c>
      <c r="L222">
        <v>39250</v>
      </c>
      <c r="M222">
        <v>9</v>
      </c>
      <c r="N222">
        <v>6789.5334009999997</v>
      </c>
      <c r="O222" s="7">
        <f>IFERROR(Table1[[#This Row],[Clicks]]/Table1[[#This Row],[Impressions]],0)</f>
        <v>2.7220388793871798E-3</v>
      </c>
      <c r="P222" s="5">
        <f>IFERROR(Table1[[#This Row],[Total Conversions]]/Table1[[#This Row],[Clicks]],0)</f>
        <v>7.9646017699115043E-2</v>
      </c>
      <c r="Q222" s="10">
        <f>IFERROR(Table1[[#This Row],[Gross Cost]]/Table1[[#This Row],[Total Conversions]],0)</f>
        <v>754.39260011111105</v>
      </c>
      <c r="R222" s="10">
        <f>IFERROR(Table1[[#This Row],[Gross Cost]]/(Table1[[#This Row],[Impressions]]/1000),0)</f>
        <v>163.55198133114928</v>
      </c>
      <c r="S222" s="5">
        <f>IFERROR(Table1[[#This Row],[Viewable Impressions]]/Table1[[#This Row],[Measurable Impressions]],0)</f>
        <v>0.53177070063694265</v>
      </c>
      <c r="T222" s="10">
        <f>IFERROR(1000*Table1[[#This Row],[Gross Cost]]/Table1[[#This Row],[Viewable Impressions]],0)</f>
        <v>325.29385784783437</v>
      </c>
      <c r="U222" s="10"/>
    </row>
    <row r="223" spans="1:21" x14ac:dyDescent="0.2">
      <c r="A223" t="s">
        <v>99</v>
      </c>
      <c r="B223" t="s">
        <v>14</v>
      </c>
      <c r="C223" t="s">
        <v>15</v>
      </c>
      <c r="D223" t="s">
        <v>77</v>
      </c>
      <c r="E223" t="str">
        <f>TRIM(RIGHT(Table1[[#This Row],[Location]],LEN(Table1[[#This Row],[Location]])-FIND(",",Table1[[#This Row],[Location]])))</f>
        <v>New York</v>
      </c>
      <c r="F223" t="s">
        <v>100</v>
      </c>
      <c r="G223" t="s">
        <v>45</v>
      </c>
      <c r="H223" t="s">
        <v>19</v>
      </c>
      <c r="I223">
        <v>12770</v>
      </c>
      <c r="J223">
        <v>84</v>
      </c>
      <c r="K223">
        <v>6224</v>
      </c>
      <c r="L223">
        <v>11110</v>
      </c>
      <c r="M223">
        <v>21</v>
      </c>
      <c r="N223">
        <v>2087.5098269999999</v>
      </c>
      <c r="O223" s="7">
        <f>IFERROR(Table1[[#This Row],[Clicks]]/Table1[[#This Row],[Impressions]],0)</f>
        <v>6.5779169929522322E-3</v>
      </c>
      <c r="P223" s="5">
        <f>IFERROR(Table1[[#This Row],[Total Conversions]]/Table1[[#This Row],[Clicks]],0)</f>
        <v>0.25</v>
      </c>
      <c r="Q223" s="10">
        <f>IFERROR(Table1[[#This Row],[Gross Cost]]/Table1[[#This Row],[Total Conversions]],0)</f>
        <v>99.405229857142857</v>
      </c>
      <c r="R223" s="10">
        <f>IFERROR(Table1[[#This Row],[Gross Cost]]/(Table1[[#This Row],[Impressions]]/1000),0)</f>
        <v>163.46983766640562</v>
      </c>
      <c r="S223" s="5">
        <f>IFERROR(Table1[[#This Row],[Viewable Impressions]]/Table1[[#This Row],[Measurable Impressions]],0)</f>
        <v>0.56021602160216022</v>
      </c>
      <c r="T223" s="10">
        <f>IFERROR(1000*Table1[[#This Row],[Gross Cost]]/Table1[[#This Row],[Viewable Impressions]],0)</f>
        <v>335.39682310411308</v>
      </c>
      <c r="U223" s="10"/>
    </row>
    <row r="224" spans="1:21" x14ac:dyDescent="0.2">
      <c r="A224" t="s">
        <v>136</v>
      </c>
      <c r="B224" t="s">
        <v>21</v>
      </c>
      <c r="C224" t="s">
        <v>41</v>
      </c>
      <c r="D224" t="s">
        <v>38</v>
      </c>
      <c r="E224" t="str">
        <f>TRIM(RIGHT(Table1[[#This Row],[Location]],LEN(Table1[[#This Row],[Location]])-FIND(",",Table1[[#This Row],[Location]])))</f>
        <v>Tennessee</v>
      </c>
      <c r="F224" t="s">
        <v>137</v>
      </c>
      <c r="G224" t="s">
        <v>18</v>
      </c>
      <c r="H224" t="s">
        <v>26</v>
      </c>
      <c r="I224">
        <v>10779</v>
      </c>
      <c r="J224">
        <v>86</v>
      </c>
      <c r="K224">
        <v>6420</v>
      </c>
      <c r="L224">
        <v>10287</v>
      </c>
      <c r="M224">
        <v>3</v>
      </c>
      <c r="N224">
        <v>1759.704833</v>
      </c>
      <c r="O224" s="7">
        <f>IFERROR(Table1[[#This Row],[Clicks]]/Table1[[#This Row],[Impressions]],0)</f>
        <v>7.9784766675943964E-3</v>
      </c>
      <c r="P224" s="5">
        <f>IFERROR(Table1[[#This Row],[Total Conversions]]/Table1[[#This Row],[Clicks]],0)</f>
        <v>3.4883720930232558E-2</v>
      </c>
      <c r="Q224" s="10">
        <f>IFERROR(Table1[[#This Row],[Gross Cost]]/Table1[[#This Row],[Total Conversions]],0)</f>
        <v>586.56827766666663</v>
      </c>
      <c r="R224" s="10">
        <f>IFERROR(Table1[[#This Row],[Gross Cost]]/(Table1[[#This Row],[Impressions]]/1000),0)</f>
        <v>163.25306920864645</v>
      </c>
      <c r="S224" s="5">
        <f>IFERROR(Table1[[#This Row],[Viewable Impressions]]/Table1[[#This Row],[Measurable Impressions]],0)</f>
        <v>0.6240886555847186</v>
      </c>
      <c r="T224" s="10">
        <f>IFERROR(1000*Table1[[#This Row],[Gross Cost]]/Table1[[#This Row],[Viewable Impressions]],0)</f>
        <v>274.09732601246105</v>
      </c>
      <c r="U224" s="10"/>
    </row>
    <row r="225" spans="1:21" x14ac:dyDescent="0.2">
      <c r="A225" t="s">
        <v>200</v>
      </c>
      <c r="B225" t="s">
        <v>21</v>
      </c>
      <c r="C225" t="s">
        <v>15</v>
      </c>
      <c r="D225" t="s">
        <v>94</v>
      </c>
      <c r="E225" t="str">
        <f>TRIM(RIGHT(Table1[[#This Row],[Location]],LEN(Table1[[#This Row],[Location]])-FIND(",",Table1[[#This Row],[Location]])))</f>
        <v>Florida</v>
      </c>
      <c r="F225" t="s">
        <v>196</v>
      </c>
      <c r="G225" t="s">
        <v>45</v>
      </c>
      <c r="H225" t="s">
        <v>26</v>
      </c>
      <c r="I225">
        <v>35178</v>
      </c>
      <c r="J225">
        <v>155</v>
      </c>
      <c r="K225">
        <v>23374</v>
      </c>
      <c r="L225">
        <v>33779</v>
      </c>
      <c r="M225">
        <v>8</v>
      </c>
      <c r="N225">
        <v>5738.8090890000003</v>
      </c>
      <c r="O225" s="7">
        <f>IFERROR(Table1[[#This Row],[Clicks]]/Table1[[#This Row],[Impressions]],0)</f>
        <v>4.406162942748309E-3</v>
      </c>
      <c r="P225" s="5">
        <f>IFERROR(Table1[[#This Row],[Total Conversions]]/Table1[[#This Row],[Clicks]],0)</f>
        <v>5.1612903225806452E-2</v>
      </c>
      <c r="Q225" s="10">
        <f>IFERROR(Table1[[#This Row],[Gross Cost]]/Table1[[#This Row],[Total Conversions]],0)</f>
        <v>717.35113612500004</v>
      </c>
      <c r="R225" s="10">
        <f>IFERROR(Table1[[#This Row],[Gross Cost]]/(Table1[[#This Row],[Impressions]]/1000),0)</f>
        <v>163.13630931263862</v>
      </c>
      <c r="S225" s="5">
        <f>IFERROR(Table1[[#This Row],[Viewable Impressions]]/Table1[[#This Row],[Measurable Impressions]],0)</f>
        <v>0.69196838272299355</v>
      </c>
      <c r="T225" s="10">
        <f>IFERROR(1000*Table1[[#This Row],[Gross Cost]]/Table1[[#This Row],[Viewable Impressions]],0)</f>
        <v>245.52105283648501</v>
      </c>
      <c r="U225" s="10"/>
    </row>
    <row r="226" spans="1:21" x14ac:dyDescent="0.2">
      <c r="A226" t="s">
        <v>490</v>
      </c>
      <c r="B226" t="s">
        <v>21</v>
      </c>
      <c r="C226" t="s">
        <v>15</v>
      </c>
      <c r="D226" t="s">
        <v>23</v>
      </c>
      <c r="E226" t="str">
        <f>TRIM(RIGHT(Table1[[#This Row],[Location]],LEN(Table1[[#This Row],[Location]])-FIND(",",Table1[[#This Row],[Location]])))</f>
        <v>Florida</v>
      </c>
      <c r="F226" t="s">
        <v>488</v>
      </c>
      <c r="G226" t="s">
        <v>35</v>
      </c>
      <c r="H226" t="s">
        <v>26</v>
      </c>
      <c r="I226">
        <v>9040</v>
      </c>
      <c r="J226">
        <v>21</v>
      </c>
      <c r="K226">
        <v>3585</v>
      </c>
      <c r="L226">
        <v>8450</v>
      </c>
      <c r="M226">
        <v>3</v>
      </c>
      <c r="N226">
        <v>1473.192464</v>
      </c>
      <c r="O226" s="7">
        <f>IFERROR(Table1[[#This Row],[Clicks]]/Table1[[#This Row],[Impressions]],0)</f>
        <v>2.3230088495575221E-3</v>
      </c>
      <c r="P226" s="5">
        <f>IFERROR(Table1[[#This Row],[Total Conversions]]/Table1[[#This Row],[Clicks]],0)</f>
        <v>0.14285714285714285</v>
      </c>
      <c r="Q226" s="10">
        <f>IFERROR(Table1[[#This Row],[Gross Cost]]/Table1[[#This Row],[Total Conversions]],0)</f>
        <v>491.06415466666664</v>
      </c>
      <c r="R226" s="10">
        <f>IFERROR(Table1[[#This Row],[Gross Cost]]/(Table1[[#This Row],[Impressions]]/1000),0)</f>
        <v>162.96376814159294</v>
      </c>
      <c r="S226" s="5">
        <f>IFERROR(Table1[[#This Row],[Viewable Impressions]]/Table1[[#This Row],[Measurable Impressions]],0)</f>
        <v>0.42426035502958581</v>
      </c>
      <c r="T226" s="10">
        <f>IFERROR(1000*Table1[[#This Row],[Gross Cost]]/Table1[[#This Row],[Viewable Impressions]],0)</f>
        <v>410.9323470013947</v>
      </c>
      <c r="U226" s="10"/>
    </row>
    <row r="227" spans="1:21" x14ac:dyDescent="0.2">
      <c r="A227" t="s">
        <v>933</v>
      </c>
      <c r="B227" t="s">
        <v>14</v>
      </c>
      <c r="C227" t="s">
        <v>30</v>
      </c>
      <c r="D227" t="s">
        <v>28</v>
      </c>
      <c r="E227" t="str">
        <f>TRIM(RIGHT(Table1[[#This Row],[Location]],LEN(Table1[[#This Row],[Location]])-FIND(",",Table1[[#This Row],[Location]])))</f>
        <v>California</v>
      </c>
      <c r="F227" t="s">
        <v>918</v>
      </c>
      <c r="G227" t="s">
        <v>18</v>
      </c>
      <c r="H227" t="s">
        <v>19</v>
      </c>
      <c r="I227">
        <v>29856</v>
      </c>
      <c r="J227">
        <v>111</v>
      </c>
      <c r="K227">
        <v>7664</v>
      </c>
      <c r="L227">
        <v>21698</v>
      </c>
      <c r="M227">
        <v>9</v>
      </c>
      <c r="N227">
        <v>4851.3944460000002</v>
      </c>
      <c r="O227" s="7">
        <f>IFERROR(Table1[[#This Row],[Clicks]]/Table1[[#This Row],[Impressions]],0)</f>
        <v>3.7178456591639873E-3</v>
      </c>
      <c r="P227" s="5">
        <f>IFERROR(Table1[[#This Row],[Total Conversions]]/Table1[[#This Row],[Clicks]],0)</f>
        <v>8.1081081081081086E-2</v>
      </c>
      <c r="Q227" s="10">
        <f>IFERROR(Table1[[#This Row],[Gross Cost]]/Table1[[#This Row],[Total Conversions]],0)</f>
        <v>539.04382733333341</v>
      </c>
      <c r="R227" s="10">
        <f>IFERROR(Table1[[#This Row],[Gross Cost]]/(Table1[[#This Row],[Impressions]]/1000),0)</f>
        <v>162.49311515273311</v>
      </c>
      <c r="S227" s="5">
        <f>IFERROR(Table1[[#This Row],[Viewable Impressions]]/Table1[[#This Row],[Measurable Impressions]],0)</f>
        <v>0.3532122776292746</v>
      </c>
      <c r="T227" s="10">
        <f>IFERROR(1000*Table1[[#This Row],[Gross Cost]]/Table1[[#This Row],[Viewable Impressions]],0)</f>
        <v>633.01075756784974</v>
      </c>
      <c r="U227" s="10"/>
    </row>
    <row r="228" spans="1:21" x14ac:dyDescent="0.2">
      <c r="A228" t="s">
        <v>594</v>
      </c>
      <c r="B228" t="s">
        <v>14</v>
      </c>
      <c r="C228" t="s">
        <v>41</v>
      </c>
      <c r="D228" t="s">
        <v>16</v>
      </c>
      <c r="E228" t="str">
        <f>TRIM(RIGHT(Table1[[#This Row],[Location]],LEN(Table1[[#This Row],[Location]])-FIND(",",Table1[[#This Row],[Location]])))</f>
        <v>California</v>
      </c>
      <c r="F228" t="s">
        <v>595</v>
      </c>
      <c r="G228" t="s">
        <v>18</v>
      </c>
      <c r="H228" t="s">
        <v>19</v>
      </c>
      <c r="I228">
        <v>39725</v>
      </c>
      <c r="J228">
        <v>144</v>
      </c>
      <c r="K228">
        <v>5402</v>
      </c>
      <c r="L228">
        <v>36080</v>
      </c>
      <c r="M228">
        <v>12</v>
      </c>
      <c r="N228">
        <v>6431.5551519999999</v>
      </c>
      <c r="O228" s="7">
        <f>IFERROR(Table1[[#This Row],[Clicks]]/Table1[[#This Row],[Impressions]],0)</f>
        <v>3.6249213341724355E-3</v>
      </c>
      <c r="P228" s="5">
        <f>IFERROR(Table1[[#This Row],[Total Conversions]]/Table1[[#This Row],[Clicks]],0)</f>
        <v>8.3333333333333329E-2</v>
      </c>
      <c r="Q228" s="10">
        <f>IFERROR(Table1[[#This Row],[Gross Cost]]/Table1[[#This Row],[Total Conversions]],0)</f>
        <v>535.96292933333336</v>
      </c>
      <c r="R228" s="10">
        <f>IFERROR(Table1[[#This Row],[Gross Cost]]/(Table1[[#This Row],[Impressions]]/1000),0)</f>
        <v>161.90195473882943</v>
      </c>
      <c r="S228" s="5">
        <f>IFERROR(Table1[[#This Row],[Viewable Impressions]]/Table1[[#This Row],[Measurable Impressions]],0)</f>
        <v>0.14972283813747228</v>
      </c>
      <c r="T228" s="10">
        <f>IFERROR(1000*Table1[[#This Row],[Gross Cost]]/Table1[[#This Row],[Viewable Impressions]],0)</f>
        <v>1190.5877734172527</v>
      </c>
      <c r="U228" s="10"/>
    </row>
    <row r="229" spans="1:21" x14ac:dyDescent="0.2">
      <c r="A229" t="s">
        <v>898</v>
      </c>
      <c r="B229" t="s">
        <v>60</v>
      </c>
      <c r="C229" t="s">
        <v>15</v>
      </c>
      <c r="D229" t="s">
        <v>77</v>
      </c>
      <c r="E229" t="str">
        <f>TRIM(RIGHT(Table1[[#This Row],[Location]],LEN(Table1[[#This Row],[Location]])-FIND(",",Table1[[#This Row],[Location]])))</f>
        <v>New York</v>
      </c>
      <c r="F229" t="s">
        <v>899</v>
      </c>
      <c r="G229" t="s">
        <v>18</v>
      </c>
      <c r="H229" t="s">
        <v>26</v>
      </c>
      <c r="I229">
        <v>39373</v>
      </c>
      <c r="J229">
        <v>99</v>
      </c>
      <c r="K229">
        <v>23152</v>
      </c>
      <c r="L229">
        <v>35857</v>
      </c>
      <c r="M229">
        <v>17</v>
      </c>
      <c r="N229">
        <v>6342.8857859999998</v>
      </c>
      <c r="O229" s="7">
        <f>IFERROR(Table1[[#This Row],[Clicks]]/Table1[[#This Row],[Impressions]],0)</f>
        <v>2.5144134305234551E-3</v>
      </c>
      <c r="P229" s="5">
        <f>IFERROR(Table1[[#This Row],[Total Conversions]]/Table1[[#This Row],[Clicks]],0)</f>
        <v>0.17171717171717171</v>
      </c>
      <c r="Q229" s="10">
        <f>IFERROR(Table1[[#This Row],[Gross Cost]]/Table1[[#This Row],[Total Conversions]],0)</f>
        <v>373.11092858823531</v>
      </c>
      <c r="R229" s="10">
        <f>IFERROR(Table1[[#This Row],[Gross Cost]]/(Table1[[#This Row],[Impressions]]/1000),0)</f>
        <v>161.09734554136082</v>
      </c>
      <c r="S229" s="5">
        <f>IFERROR(Table1[[#This Row],[Viewable Impressions]]/Table1[[#This Row],[Measurable Impressions]],0)</f>
        <v>0.64567587918676972</v>
      </c>
      <c r="T229" s="10">
        <f>IFERROR(1000*Table1[[#This Row],[Gross Cost]]/Table1[[#This Row],[Viewable Impressions]],0)</f>
        <v>273.96707783344851</v>
      </c>
      <c r="U229" s="10"/>
    </row>
    <row r="230" spans="1:21" x14ac:dyDescent="0.2">
      <c r="A230" t="s">
        <v>921</v>
      </c>
      <c r="B230" t="s">
        <v>21</v>
      </c>
      <c r="C230" t="s">
        <v>22</v>
      </c>
      <c r="D230" t="s">
        <v>38</v>
      </c>
      <c r="E230" t="str">
        <f>TRIM(RIGHT(Table1[[#This Row],[Location]],LEN(Table1[[#This Row],[Location]])-FIND(",",Table1[[#This Row],[Location]])))</f>
        <v>Tennessee</v>
      </c>
      <c r="F230" t="s">
        <v>918</v>
      </c>
      <c r="G230" t="s">
        <v>18</v>
      </c>
      <c r="H230" t="s">
        <v>26</v>
      </c>
      <c r="I230">
        <v>39844</v>
      </c>
      <c r="J230">
        <v>99</v>
      </c>
      <c r="K230">
        <v>11077</v>
      </c>
      <c r="L230">
        <v>30190</v>
      </c>
      <c r="M230">
        <v>9</v>
      </c>
      <c r="N230">
        <v>6367.8699290000004</v>
      </c>
      <c r="O230" s="7">
        <f>IFERROR(Table1[[#This Row],[Clicks]]/Table1[[#This Row],[Impressions]],0)</f>
        <v>2.4846902921393434E-3</v>
      </c>
      <c r="P230" s="5">
        <f>IFERROR(Table1[[#This Row],[Total Conversions]]/Table1[[#This Row],[Clicks]],0)</f>
        <v>9.0909090909090912E-2</v>
      </c>
      <c r="Q230" s="10">
        <f>IFERROR(Table1[[#This Row],[Gross Cost]]/Table1[[#This Row],[Total Conversions]],0)</f>
        <v>707.54110322222232</v>
      </c>
      <c r="R230" s="10">
        <f>IFERROR(Table1[[#This Row],[Gross Cost]]/(Table1[[#This Row],[Impressions]]/1000),0)</f>
        <v>159.82004640598333</v>
      </c>
      <c r="S230" s="5">
        <f>IFERROR(Table1[[#This Row],[Viewable Impressions]]/Table1[[#This Row],[Measurable Impressions]],0)</f>
        <v>0.36690957270619412</v>
      </c>
      <c r="T230" s="10">
        <f>IFERROR(1000*Table1[[#This Row],[Gross Cost]]/Table1[[#This Row],[Viewable Impressions]],0)</f>
        <v>574.87315419337369</v>
      </c>
      <c r="U230" s="10"/>
    </row>
    <row r="231" spans="1:21" x14ac:dyDescent="0.2">
      <c r="A231" t="s">
        <v>580</v>
      </c>
      <c r="B231" t="s">
        <v>21</v>
      </c>
      <c r="C231" t="s">
        <v>22</v>
      </c>
      <c r="D231" t="s">
        <v>272</v>
      </c>
      <c r="E231" t="str">
        <f>TRIM(RIGHT(Table1[[#This Row],[Location]],LEN(Table1[[#This Row],[Location]])-FIND(",",Table1[[#This Row],[Location]])))</f>
        <v>Indiana</v>
      </c>
      <c r="F231" t="s">
        <v>581</v>
      </c>
      <c r="G231" t="s">
        <v>166</v>
      </c>
      <c r="H231" t="s">
        <v>26</v>
      </c>
      <c r="I231">
        <v>12148</v>
      </c>
      <c r="J231">
        <v>40</v>
      </c>
      <c r="K231">
        <v>7950</v>
      </c>
      <c r="L231">
        <v>11360</v>
      </c>
      <c r="M231">
        <v>9</v>
      </c>
      <c r="N231">
        <v>1936.008049</v>
      </c>
      <c r="O231" s="7">
        <f>IFERROR(Table1[[#This Row],[Clicks]]/Table1[[#This Row],[Impressions]],0)</f>
        <v>3.2927230819888046E-3</v>
      </c>
      <c r="P231" s="5">
        <f>IFERROR(Table1[[#This Row],[Total Conversions]]/Table1[[#This Row],[Clicks]],0)</f>
        <v>0.22500000000000001</v>
      </c>
      <c r="Q231" s="10">
        <f>IFERROR(Table1[[#This Row],[Gross Cost]]/Table1[[#This Row],[Total Conversions]],0)</f>
        <v>215.11200544444443</v>
      </c>
      <c r="R231" s="10">
        <f>IFERROR(Table1[[#This Row],[Gross Cost]]/(Table1[[#This Row],[Impressions]]/1000),0)</f>
        <v>159.36845974646033</v>
      </c>
      <c r="S231" s="5">
        <f>IFERROR(Table1[[#This Row],[Viewable Impressions]]/Table1[[#This Row],[Measurable Impressions]],0)</f>
        <v>0.69982394366197187</v>
      </c>
      <c r="T231" s="10">
        <f>IFERROR(1000*Table1[[#This Row],[Gross Cost]]/Table1[[#This Row],[Viewable Impressions]],0)</f>
        <v>243.52302503144656</v>
      </c>
      <c r="U231" s="10"/>
    </row>
    <row r="232" spans="1:21" x14ac:dyDescent="0.2">
      <c r="A232" t="s">
        <v>285</v>
      </c>
      <c r="B232" t="s">
        <v>21</v>
      </c>
      <c r="C232" t="s">
        <v>22</v>
      </c>
      <c r="D232" t="s">
        <v>54</v>
      </c>
      <c r="E232" t="str">
        <f>TRIM(RIGHT(Table1[[#This Row],[Location]],LEN(Table1[[#This Row],[Location]])-FIND(",",Table1[[#This Row],[Location]])))</f>
        <v>Florida</v>
      </c>
      <c r="F232" t="s">
        <v>286</v>
      </c>
      <c r="G232" t="s">
        <v>18</v>
      </c>
      <c r="H232" t="s">
        <v>26</v>
      </c>
      <c r="I232">
        <v>12606</v>
      </c>
      <c r="J232">
        <v>74</v>
      </c>
      <c r="K232">
        <v>8332</v>
      </c>
      <c r="L232">
        <v>11170</v>
      </c>
      <c r="M232">
        <v>5</v>
      </c>
      <c r="N232">
        <v>2002.5379889999999</v>
      </c>
      <c r="O232" s="7">
        <f>IFERROR(Table1[[#This Row],[Clicks]]/Table1[[#This Row],[Impressions]],0)</f>
        <v>5.8702205299063937E-3</v>
      </c>
      <c r="P232" s="5">
        <f>IFERROR(Table1[[#This Row],[Total Conversions]]/Table1[[#This Row],[Clicks]],0)</f>
        <v>6.7567567567567571E-2</v>
      </c>
      <c r="Q232" s="10">
        <f>IFERROR(Table1[[#This Row],[Gross Cost]]/Table1[[#This Row],[Total Conversions]],0)</f>
        <v>400.50759779999998</v>
      </c>
      <c r="R232" s="10">
        <f>IFERROR(Table1[[#This Row],[Gross Cost]]/(Table1[[#This Row],[Impressions]]/1000),0)</f>
        <v>158.85594074250358</v>
      </c>
      <c r="S232" s="5">
        <f>IFERROR(Table1[[#This Row],[Viewable Impressions]]/Table1[[#This Row],[Measurable Impressions]],0)</f>
        <v>0.74592658907788723</v>
      </c>
      <c r="T232" s="10">
        <f>IFERROR(1000*Table1[[#This Row],[Gross Cost]]/Table1[[#This Row],[Viewable Impressions]],0)</f>
        <v>240.34301356216992</v>
      </c>
      <c r="U232" s="10"/>
    </row>
    <row r="233" spans="1:21" x14ac:dyDescent="0.2">
      <c r="A233" t="s">
        <v>859</v>
      </c>
      <c r="B233" t="s">
        <v>21</v>
      </c>
      <c r="C233" t="s">
        <v>15</v>
      </c>
      <c r="D233" t="s">
        <v>28</v>
      </c>
      <c r="E233" t="str">
        <f>TRIM(RIGHT(Table1[[#This Row],[Location]],LEN(Table1[[#This Row],[Location]])-FIND(",",Table1[[#This Row],[Location]])))</f>
        <v>California</v>
      </c>
      <c r="F233" t="s">
        <v>860</v>
      </c>
      <c r="G233" t="s">
        <v>116</v>
      </c>
      <c r="H233" t="s">
        <v>26</v>
      </c>
      <c r="I233">
        <v>9157</v>
      </c>
      <c r="J233">
        <v>60</v>
      </c>
      <c r="K233">
        <v>4520</v>
      </c>
      <c r="L233">
        <v>8037</v>
      </c>
      <c r="M233">
        <v>2</v>
      </c>
      <c r="N233">
        <v>1449.1778039999999</v>
      </c>
      <c r="O233" s="7">
        <f>IFERROR(Table1[[#This Row],[Clicks]]/Table1[[#This Row],[Impressions]],0)</f>
        <v>6.5523643114557169E-3</v>
      </c>
      <c r="P233" s="5">
        <f>IFERROR(Table1[[#This Row],[Total Conversions]]/Table1[[#This Row],[Clicks]],0)</f>
        <v>3.3333333333333333E-2</v>
      </c>
      <c r="Q233" s="10">
        <f>IFERROR(Table1[[#This Row],[Gross Cost]]/Table1[[#This Row],[Total Conversions]],0)</f>
        <v>724.58890199999996</v>
      </c>
      <c r="R233" s="10">
        <f>IFERROR(Table1[[#This Row],[Gross Cost]]/(Table1[[#This Row],[Impressions]]/1000),0)</f>
        <v>158.25901539805614</v>
      </c>
      <c r="S233" s="5">
        <f>IFERROR(Table1[[#This Row],[Viewable Impressions]]/Table1[[#This Row],[Measurable Impressions]],0)</f>
        <v>0.56239890506407864</v>
      </c>
      <c r="T233" s="10">
        <f>IFERROR(1000*Table1[[#This Row],[Gross Cost]]/Table1[[#This Row],[Viewable Impressions]],0)</f>
        <v>320.61455840707964</v>
      </c>
      <c r="U233" s="10"/>
    </row>
    <row r="234" spans="1:21" x14ac:dyDescent="0.2">
      <c r="A234" t="s">
        <v>1037</v>
      </c>
      <c r="B234" t="s">
        <v>14</v>
      </c>
      <c r="C234" t="s">
        <v>41</v>
      </c>
      <c r="D234" t="s">
        <v>83</v>
      </c>
      <c r="E234" t="str">
        <f>TRIM(RIGHT(Table1[[#This Row],[Location]],LEN(Table1[[#This Row],[Location]])-FIND(",",Table1[[#This Row],[Location]])))</f>
        <v>Florida</v>
      </c>
      <c r="F234" t="s">
        <v>1031</v>
      </c>
      <c r="G234" t="s">
        <v>45</v>
      </c>
      <c r="H234" t="s">
        <v>26</v>
      </c>
      <c r="I234">
        <v>9790</v>
      </c>
      <c r="J234">
        <v>24</v>
      </c>
      <c r="K234">
        <v>1295</v>
      </c>
      <c r="L234">
        <v>9196</v>
      </c>
      <c r="M234">
        <v>2</v>
      </c>
      <c r="N234">
        <v>1532.1488810000001</v>
      </c>
      <c r="O234" s="7">
        <f>IFERROR(Table1[[#This Row],[Clicks]]/Table1[[#This Row],[Impressions]],0)</f>
        <v>2.4514811031664963E-3</v>
      </c>
      <c r="P234" s="5">
        <f>IFERROR(Table1[[#This Row],[Total Conversions]]/Table1[[#This Row],[Clicks]],0)</f>
        <v>8.3333333333333329E-2</v>
      </c>
      <c r="Q234" s="10">
        <f>IFERROR(Table1[[#This Row],[Gross Cost]]/Table1[[#This Row],[Total Conversions]],0)</f>
        <v>766.07444050000004</v>
      </c>
      <c r="R234" s="10">
        <f>IFERROR(Table1[[#This Row],[Gross Cost]]/(Table1[[#This Row],[Impressions]]/1000),0)</f>
        <v>156.50141787538305</v>
      </c>
      <c r="S234" s="5">
        <f>IFERROR(Table1[[#This Row],[Viewable Impressions]]/Table1[[#This Row],[Measurable Impressions]],0)</f>
        <v>0.14082209656372335</v>
      </c>
      <c r="T234" s="10">
        <f>IFERROR(1000*Table1[[#This Row],[Gross Cost]]/Table1[[#This Row],[Viewable Impressions]],0)</f>
        <v>1183.1265490347491</v>
      </c>
      <c r="U234" s="10"/>
    </row>
    <row r="235" spans="1:21" x14ac:dyDescent="0.2">
      <c r="A235" t="s">
        <v>162</v>
      </c>
      <c r="B235" t="s">
        <v>14</v>
      </c>
      <c r="C235" t="s">
        <v>41</v>
      </c>
      <c r="D235" t="s">
        <v>34</v>
      </c>
      <c r="E235" t="str">
        <f>TRIM(RIGHT(Table1[[#This Row],[Location]],LEN(Table1[[#This Row],[Location]])-FIND(",",Table1[[#This Row],[Location]])))</f>
        <v>Illinois</v>
      </c>
      <c r="F235" t="s">
        <v>159</v>
      </c>
      <c r="G235" t="s">
        <v>18</v>
      </c>
      <c r="H235" t="s">
        <v>51</v>
      </c>
      <c r="I235">
        <v>27202</v>
      </c>
      <c r="J235">
        <v>70</v>
      </c>
      <c r="K235">
        <v>5202</v>
      </c>
      <c r="L235">
        <v>23474</v>
      </c>
      <c r="M235">
        <v>11</v>
      </c>
      <c r="N235">
        <v>4253.9791160000004</v>
      </c>
      <c r="O235" s="7">
        <f>IFERROR(Table1[[#This Row],[Clicks]]/Table1[[#This Row],[Impressions]],0)</f>
        <v>2.5733401955738548E-3</v>
      </c>
      <c r="P235" s="5">
        <f>IFERROR(Table1[[#This Row],[Total Conversions]]/Table1[[#This Row],[Clicks]],0)</f>
        <v>0.15714285714285714</v>
      </c>
      <c r="Q235" s="10">
        <f>IFERROR(Table1[[#This Row],[Gross Cost]]/Table1[[#This Row],[Total Conversions]],0)</f>
        <v>386.72537418181821</v>
      </c>
      <c r="R235" s="10">
        <f>IFERROR(Table1[[#This Row],[Gross Cost]]/(Table1[[#This Row],[Impressions]]/1000),0)</f>
        <v>156.3847921476362</v>
      </c>
      <c r="S235" s="5">
        <f>IFERROR(Table1[[#This Row],[Viewable Impressions]]/Table1[[#This Row],[Measurable Impressions]],0)</f>
        <v>0.22160688421232003</v>
      </c>
      <c r="T235" s="10">
        <f>IFERROR(1000*Table1[[#This Row],[Gross Cost]]/Table1[[#This Row],[Viewable Impressions]],0)</f>
        <v>817.75838446751254</v>
      </c>
      <c r="U235" s="10"/>
    </row>
    <row r="236" spans="1:21" x14ac:dyDescent="0.2">
      <c r="A236" t="s">
        <v>52</v>
      </c>
      <c r="B236" t="s">
        <v>14</v>
      </c>
      <c r="C236" t="s">
        <v>15</v>
      </c>
      <c r="D236" t="s">
        <v>28</v>
      </c>
      <c r="E236" t="str">
        <f>TRIM(RIGHT(Table1[[#This Row],[Location]],LEN(Table1[[#This Row],[Location]])-FIND(",",Table1[[#This Row],[Location]])))</f>
        <v>California</v>
      </c>
      <c r="F236" t="s">
        <v>24</v>
      </c>
      <c r="G236" t="s">
        <v>45</v>
      </c>
      <c r="H236" t="s">
        <v>26</v>
      </c>
      <c r="I236">
        <v>10811</v>
      </c>
      <c r="J236">
        <v>25</v>
      </c>
      <c r="K236">
        <v>988</v>
      </c>
      <c r="L236">
        <v>2975</v>
      </c>
      <c r="M236">
        <v>3</v>
      </c>
      <c r="N236">
        <v>1679.833815</v>
      </c>
      <c r="O236" s="7">
        <f>IFERROR(Table1[[#This Row],[Clicks]]/Table1[[#This Row],[Impressions]],0)</f>
        <v>2.3124595319581908E-3</v>
      </c>
      <c r="P236" s="5">
        <f>IFERROR(Table1[[#This Row],[Total Conversions]]/Table1[[#This Row],[Clicks]],0)</f>
        <v>0.12</v>
      </c>
      <c r="Q236" s="10">
        <f>IFERROR(Table1[[#This Row],[Gross Cost]]/Table1[[#This Row],[Total Conversions]],0)</f>
        <v>559.94460500000002</v>
      </c>
      <c r="R236" s="10">
        <f>IFERROR(Table1[[#This Row],[Gross Cost]]/(Table1[[#This Row],[Impressions]]/1000),0)</f>
        <v>155.38190870409767</v>
      </c>
      <c r="S236" s="5">
        <f>IFERROR(Table1[[#This Row],[Viewable Impressions]]/Table1[[#This Row],[Measurable Impressions]],0)</f>
        <v>0.33210084033613446</v>
      </c>
      <c r="T236" s="10">
        <f>IFERROR(1000*Table1[[#This Row],[Gross Cost]]/Table1[[#This Row],[Viewable Impressions]],0)</f>
        <v>1700.2366548582995</v>
      </c>
      <c r="U236" s="10"/>
    </row>
    <row r="237" spans="1:21" x14ac:dyDescent="0.2">
      <c r="A237" t="s">
        <v>111</v>
      </c>
      <c r="B237" t="s">
        <v>14</v>
      </c>
      <c r="C237" t="s">
        <v>15</v>
      </c>
      <c r="D237" t="s">
        <v>77</v>
      </c>
      <c r="E237" t="str">
        <f>TRIM(RIGHT(Table1[[#This Row],[Location]],LEN(Table1[[#This Row],[Location]])-FIND(",",Table1[[#This Row],[Location]])))</f>
        <v>New York</v>
      </c>
      <c r="F237" t="s">
        <v>112</v>
      </c>
      <c r="G237" t="s">
        <v>45</v>
      </c>
      <c r="H237" t="s">
        <v>26</v>
      </c>
      <c r="I237">
        <v>18458</v>
      </c>
      <c r="J237">
        <v>111</v>
      </c>
      <c r="K237">
        <v>3623</v>
      </c>
      <c r="L237">
        <v>16934</v>
      </c>
      <c r="M237">
        <v>6</v>
      </c>
      <c r="N237">
        <v>2866.4966709999999</v>
      </c>
      <c r="O237" s="7">
        <f>IFERROR(Table1[[#This Row],[Clicks]]/Table1[[#This Row],[Impressions]],0)</f>
        <v>6.0136526167515443E-3</v>
      </c>
      <c r="P237" s="5">
        <f>IFERROR(Table1[[#This Row],[Total Conversions]]/Table1[[#This Row],[Clicks]],0)</f>
        <v>5.4054054054054057E-2</v>
      </c>
      <c r="Q237" s="10">
        <f>IFERROR(Table1[[#This Row],[Gross Cost]]/Table1[[#This Row],[Total Conversions]],0)</f>
        <v>477.74944516666665</v>
      </c>
      <c r="R237" s="10">
        <f>IFERROR(Table1[[#This Row],[Gross Cost]]/(Table1[[#This Row],[Impressions]]/1000),0)</f>
        <v>155.29833519341207</v>
      </c>
      <c r="S237" s="5">
        <f>IFERROR(Table1[[#This Row],[Viewable Impressions]]/Table1[[#This Row],[Measurable Impressions]],0)</f>
        <v>0.21394826975315934</v>
      </c>
      <c r="T237" s="10">
        <f>IFERROR(1000*Table1[[#This Row],[Gross Cost]]/Table1[[#This Row],[Viewable Impressions]],0)</f>
        <v>791.19422329561144</v>
      </c>
      <c r="U237" s="10"/>
    </row>
    <row r="238" spans="1:21" x14ac:dyDescent="0.2">
      <c r="A238" t="s">
        <v>362</v>
      </c>
      <c r="B238" t="s">
        <v>14</v>
      </c>
      <c r="C238" t="s">
        <v>30</v>
      </c>
      <c r="D238" t="s">
        <v>34</v>
      </c>
      <c r="E238" t="str">
        <f>TRIM(RIGHT(Table1[[#This Row],[Location]],LEN(Table1[[#This Row],[Location]])-FIND(",",Table1[[#This Row],[Location]])))</f>
        <v>Illinois</v>
      </c>
      <c r="F238" t="s">
        <v>361</v>
      </c>
      <c r="G238" t="s">
        <v>18</v>
      </c>
      <c r="H238" t="s">
        <v>26</v>
      </c>
      <c r="I238">
        <v>11375</v>
      </c>
      <c r="J238">
        <v>87</v>
      </c>
      <c r="K238">
        <v>7171</v>
      </c>
      <c r="L238">
        <v>8151</v>
      </c>
      <c r="M238">
        <v>4</v>
      </c>
      <c r="N238">
        <v>1763.7840610000001</v>
      </c>
      <c r="O238" s="7">
        <f>IFERROR(Table1[[#This Row],[Clicks]]/Table1[[#This Row],[Impressions]],0)</f>
        <v>7.6483516483516487E-3</v>
      </c>
      <c r="P238" s="5">
        <f>IFERROR(Table1[[#This Row],[Total Conversions]]/Table1[[#This Row],[Clicks]],0)</f>
        <v>4.5977011494252873E-2</v>
      </c>
      <c r="Q238" s="10">
        <f>IFERROR(Table1[[#This Row],[Gross Cost]]/Table1[[#This Row],[Total Conversions]],0)</f>
        <v>440.94601525000002</v>
      </c>
      <c r="R238" s="10">
        <f>IFERROR(Table1[[#This Row],[Gross Cost]]/(Table1[[#This Row],[Impressions]]/1000),0)</f>
        <v>155.05793942857144</v>
      </c>
      <c r="S238" s="5">
        <f>IFERROR(Table1[[#This Row],[Viewable Impressions]]/Table1[[#This Row],[Measurable Impressions]],0)</f>
        <v>0.879769353453564</v>
      </c>
      <c r="T238" s="10">
        <f>IFERROR(1000*Table1[[#This Row],[Gross Cost]]/Table1[[#This Row],[Viewable Impressions]],0)</f>
        <v>245.96068344721795</v>
      </c>
      <c r="U238" s="10"/>
    </row>
    <row r="239" spans="1:21" x14ac:dyDescent="0.2">
      <c r="A239" t="s">
        <v>153</v>
      </c>
      <c r="B239" t="s">
        <v>60</v>
      </c>
      <c r="C239" t="s">
        <v>15</v>
      </c>
      <c r="D239" t="s">
        <v>154</v>
      </c>
      <c r="E239" t="str">
        <f>TRIM(RIGHT(Table1[[#This Row],[Location]],LEN(Table1[[#This Row],[Location]])-FIND(",",Table1[[#This Row],[Location]])))</f>
        <v>Illinois</v>
      </c>
      <c r="F239" t="s">
        <v>155</v>
      </c>
      <c r="G239" t="s">
        <v>18</v>
      </c>
      <c r="H239" t="s">
        <v>26</v>
      </c>
      <c r="I239">
        <v>9946</v>
      </c>
      <c r="J239">
        <v>20</v>
      </c>
      <c r="K239">
        <v>4818</v>
      </c>
      <c r="L239">
        <v>7382</v>
      </c>
      <c r="M239">
        <v>3</v>
      </c>
      <c r="N239">
        <v>1525.962329</v>
      </c>
      <c r="O239" s="7">
        <f>IFERROR(Table1[[#This Row],[Clicks]]/Table1[[#This Row],[Impressions]],0)</f>
        <v>2.0108586366378444E-3</v>
      </c>
      <c r="P239" s="5">
        <f>IFERROR(Table1[[#This Row],[Total Conversions]]/Table1[[#This Row],[Clicks]],0)</f>
        <v>0.15</v>
      </c>
      <c r="Q239" s="10">
        <f>IFERROR(Table1[[#This Row],[Gross Cost]]/Table1[[#This Row],[Total Conversions]],0)</f>
        <v>508.65410966666667</v>
      </c>
      <c r="R239" s="10">
        <f>IFERROR(Table1[[#This Row],[Gross Cost]]/(Table1[[#This Row],[Impressions]]/1000),0)</f>
        <v>153.42472642268248</v>
      </c>
      <c r="S239" s="5">
        <f>IFERROR(Table1[[#This Row],[Viewable Impressions]]/Table1[[#This Row],[Measurable Impressions]],0)</f>
        <v>0.65266865348144132</v>
      </c>
      <c r="T239" s="10">
        <f>IFERROR(1000*Table1[[#This Row],[Gross Cost]]/Table1[[#This Row],[Viewable Impressions]],0)</f>
        <v>316.72111436280613</v>
      </c>
      <c r="U239" s="10"/>
    </row>
    <row r="240" spans="1:21" x14ac:dyDescent="0.2">
      <c r="A240" t="s">
        <v>705</v>
      </c>
      <c r="B240" t="s">
        <v>14</v>
      </c>
      <c r="C240" t="s">
        <v>22</v>
      </c>
      <c r="D240" t="s">
        <v>34</v>
      </c>
      <c r="E240" t="str">
        <f>TRIM(RIGHT(Table1[[#This Row],[Location]],LEN(Table1[[#This Row],[Location]])-FIND(",",Table1[[#This Row],[Location]])))</f>
        <v>Illinois</v>
      </c>
      <c r="F240" t="s">
        <v>701</v>
      </c>
      <c r="G240" t="s">
        <v>49</v>
      </c>
      <c r="H240" t="s">
        <v>19</v>
      </c>
      <c r="I240">
        <v>42755</v>
      </c>
      <c r="J240">
        <v>117</v>
      </c>
      <c r="K240">
        <v>36503</v>
      </c>
      <c r="L240">
        <v>40051</v>
      </c>
      <c r="M240">
        <v>12</v>
      </c>
      <c r="N240">
        <v>6550.3029699999997</v>
      </c>
      <c r="O240" s="7">
        <f>IFERROR(Table1[[#This Row],[Clicks]]/Table1[[#This Row],[Impressions]],0)</f>
        <v>2.7365220442053563E-3</v>
      </c>
      <c r="P240" s="5">
        <f>IFERROR(Table1[[#This Row],[Total Conversions]]/Table1[[#This Row],[Clicks]],0)</f>
        <v>0.10256410256410256</v>
      </c>
      <c r="Q240" s="10">
        <f>IFERROR(Table1[[#This Row],[Gross Cost]]/Table1[[#This Row],[Total Conversions]],0)</f>
        <v>545.85858083333335</v>
      </c>
      <c r="R240" s="10">
        <f>IFERROR(Table1[[#This Row],[Gross Cost]]/(Table1[[#This Row],[Impressions]]/1000),0)</f>
        <v>153.20554250964798</v>
      </c>
      <c r="S240" s="5">
        <f>IFERROR(Table1[[#This Row],[Viewable Impressions]]/Table1[[#This Row],[Measurable Impressions]],0)</f>
        <v>0.91141294849067434</v>
      </c>
      <c r="T240" s="10">
        <f>IFERROR(1000*Table1[[#This Row],[Gross Cost]]/Table1[[#This Row],[Viewable Impressions]],0)</f>
        <v>179.44560638851601</v>
      </c>
      <c r="U240" s="10"/>
    </row>
    <row r="241" spans="1:21" x14ac:dyDescent="0.2">
      <c r="A241" t="s">
        <v>88</v>
      </c>
      <c r="B241" t="s">
        <v>21</v>
      </c>
      <c r="C241" t="s">
        <v>22</v>
      </c>
      <c r="D241" t="s">
        <v>65</v>
      </c>
      <c r="E241" t="str">
        <f>TRIM(RIGHT(Table1[[#This Row],[Location]],LEN(Table1[[#This Row],[Location]])-FIND(",",Table1[[#This Row],[Location]])))</f>
        <v>Florida</v>
      </c>
      <c r="F241" t="s">
        <v>89</v>
      </c>
      <c r="G241" t="s">
        <v>45</v>
      </c>
      <c r="H241" t="s">
        <v>26</v>
      </c>
      <c r="I241">
        <v>10992</v>
      </c>
      <c r="J241">
        <v>97</v>
      </c>
      <c r="K241">
        <v>6677</v>
      </c>
      <c r="L241">
        <v>10132</v>
      </c>
      <c r="M241">
        <v>3</v>
      </c>
      <c r="N241">
        <v>1675.987427</v>
      </c>
      <c r="O241" s="7">
        <f>IFERROR(Table1[[#This Row],[Clicks]]/Table1[[#This Row],[Impressions]],0)</f>
        <v>8.8245997088791852E-3</v>
      </c>
      <c r="P241" s="5">
        <f>IFERROR(Table1[[#This Row],[Total Conversions]]/Table1[[#This Row],[Clicks]],0)</f>
        <v>3.0927835051546393E-2</v>
      </c>
      <c r="Q241" s="10">
        <f>IFERROR(Table1[[#This Row],[Gross Cost]]/Table1[[#This Row],[Total Conversions]],0)</f>
        <v>558.66247566666664</v>
      </c>
      <c r="R241" s="10">
        <f>IFERROR(Table1[[#This Row],[Gross Cost]]/(Table1[[#This Row],[Impressions]]/1000),0)</f>
        <v>152.47338309679765</v>
      </c>
      <c r="S241" s="5">
        <f>IFERROR(Table1[[#This Row],[Viewable Impressions]]/Table1[[#This Row],[Measurable Impressions]],0)</f>
        <v>0.65900118436636401</v>
      </c>
      <c r="T241" s="10">
        <f>IFERROR(1000*Table1[[#This Row],[Gross Cost]]/Table1[[#This Row],[Viewable Impressions]],0)</f>
        <v>251.0090500224652</v>
      </c>
      <c r="U241" s="10"/>
    </row>
    <row r="242" spans="1:21" x14ac:dyDescent="0.2">
      <c r="A242" t="s">
        <v>579</v>
      </c>
      <c r="B242" t="s">
        <v>21</v>
      </c>
      <c r="C242" t="s">
        <v>22</v>
      </c>
      <c r="D242" t="s">
        <v>34</v>
      </c>
      <c r="E242" t="str">
        <f>TRIM(RIGHT(Table1[[#This Row],[Location]],LEN(Table1[[#This Row],[Location]])-FIND(",",Table1[[#This Row],[Location]])))</f>
        <v>Illinois</v>
      </c>
      <c r="F242" t="s">
        <v>577</v>
      </c>
      <c r="G242" t="s">
        <v>35</v>
      </c>
      <c r="H242" t="s">
        <v>26</v>
      </c>
      <c r="I242">
        <v>9881</v>
      </c>
      <c r="J242">
        <v>15</v>
      </c>
      <c r="K242">
        <v>2344</v>
      </c>
      <c r="L242">
        <v>7324</v>
      </c>
      <c r="M242">
        <v>1</v>
      </c>
      <c r="N242">
        <v>1505.0115499999999</v>
      </c>
      <c r="O242" s="7">
        <f>IFERROR(Table1[[#This Row],[Clicks]]/Table1[[#This Row],[Impressions]],0)</f>
        <v>1.5180649731808521E-3</v>
      </c>
      <c r="P242" s="5">
        <f>IFERROR(Table1[[#This Row],[Total Conversions]]/Table1[[#This Row],[Clicks]],0)</f>
        <v>6.6666666666666666E-2</v>
      </c>
      <c r="Q242" s="10">
        <f>IFERROR(Table1[[#This Row],[Gross Cost]]/Table1[[#This Row],[Total Conversions]],0)</f>
        <v>1505.0115499999999</v>
      </c>
      <c r="R242" s="10">
        <f>IFERROR(Table1[[#This Row],[Gross Cost]]/(Table1[[#This Row],[Impressions]]/1000),0)</f>
        <v>152.31368788584152</v>
      </c>
      <c r="S242" s="5">
        <f>IFERROR(Table1[[#This Row],[Viewable Impressions]]/Table1[[#This Row],[Measurable Impressions]],0)</f>
        <v>0.32004369197160021</v>
      </c>
      <c r="T242" s="10">
        <f>IFERROR(1000*Table1[[#This Row],[Gross Cost]]/Table1[[#This Row],[Viewable Impressions]],0)</f>
        <v>642.06977389078497</v>
      </c>
      <c r="U242" s="10"/>
    </row>
    <row r="243" spans="1:21" x14ac:dyDescent="0.2">
      <c r="A243" t="s">
        <v>367</v>
      </c>
      <c r="B243" t="s">
        <v>21</v>
      </c>
      <c r="C243" t="s">
        <v>15</v>
      </c>
      <c r="D243" t="s">
        <v>172</v>
      </c>
      <c r="E243" t="str">
        <f>TRIM(RIGHT(Table1[[#This Row],[Location]],LEN(Table1[[#This Row],[Location]])-FIND(",",Table1[[#This Row],[Location]])))</f>
        <v>Tennessee</v>
      </c>
      <c r="F243" t="s">
        <v>364</v>
      </c>
      <c r="G243" t="s">
        <v>47</v>
      </c>
      <c r="H243" t="s">
        <v>26</v>
      </c>
      <c r="I243">
        <v>44505</v>
      </c>
      <c r="J243">
        <v>125</v>
      </c>
      <c r="K243">
        <v>18993</v>
      </c>
      <c r="L243">
        <v>39522</v>
      </c>
      <c r="M243">
        <v>16</v>
      </c>
      <c r="N243">
        <v>6766.4753680000003</v>
      </c>
      <c r="O243" s="7">
        <f>IFERROR(Table1[[#This Row],[Clicks]]/Table1[[#This Row],[Impressions]],0)</f>
        <v>2.8086731827884509E-3</v>
      </c>
      <c r="P243" s="5">
        <f>IFERROR(Table1[[#This Row],[Total Conversions]]/Table1[[#This Row],[Clicks]],0)</f>
        <v>0.128</v>
      </c>
      <c r="Q243" s="10">
        <f>IFERROR(Table1[[#This Row],[Gross Cost]]/Table1[[#This Row],[Total Conversions]],0)</f>
        <v>422.90471050000002</v>
      </c>
      <c r="R243" s="10">
        <f>IFERROR(Table1[[#This Row],[Gross Cost]]/(Table1[[#This Row],[Impressions]]/1000),0)</f>
        <v>152.03854326480172</v>
      </c>
      <c r="S243" s="5">
        <f>IFERROR(Table1[[#This Row],[Viewable Impressions]]/Table1[[#This Row],[Measurable Impressions]],0)</f>
        <v>0.48056778503112191</v>
      </c>
      <c r="T243" s="10">
        <f>IFERROR(1000*Table1[[#This Row],[Gross Cost]]/Table1[[#This Row],[Viewable Impressions]],0)</f>
        <v>356.26153677670726</v>
      </c>
      <c r="U243" s="10"/>
    </row>
    <row r="244" spans="1:21" x14ac:dyDescent="0.2">
      <c r="A244" t="s">
        <v>269</v>
      </c>
      <c r="B244" t="s">
        <v>21</v>
      </c>
      <c r="C244" t="s">
        <v>41</v>
      </c>
      <c r="D244" t="s">
        <v>28</v>
      </c>
      <c r="E244" t="str">
        <f>TRIM(RIGHT(Table1[[#This Row],[Location]],LEN(Table1[[#This Row],[Location]])-FIND(",",Table1[[#This Row],[Location]])))</f>
        <v>California</v>
      </c>
      <c r="F244" t="s">
        <v>270</v>
      </c>
      <c r="G244" t="s">
        <v>18</v>
      </c>
      <c r="H244" t="s">
        <v>26</v>
      </c>
      <c r="I244">
        <v>11025</v>
      </c>
      <c r="J244">
        <v>50</v>
      </c>
      <c r="K244">
        <v>7974</v>
      </c>
      <c r="L244">
        <v>10311</v>
      </c>
      <c r="M244">
        <v>4</v>
      </c>
      <c r="N244">
        <v>1657.159766</v>
      </c>
      <c r="O244" s="7">
        <f>IFERROR(Table1[[#This Row],[Clicks]]/Table1[[#This Row],[Impressions]],0)</f>
        <v>4.5351473922902496E-3</v>
      </c>
      <c r="P244" s="5">
        <f>IFERROR(Table1[[#This Row],[Total Conversions]]/Table1[[#This Row],[Clicks]],0)</f>
        <v>0.08</v>
      </c>
      <c r="Q244" s="10">
        <f>IFERROR(Table1[[#This Row],[Gross Cost]]/Table1[[#This Row],[Total Conversions]],0)</f>
        <v>414.2899415</v>
      </c>
      <c r="R244" s="10">
        <f>IFERROR(Table1[[#This Row],[Gross Cost]]/(Table1[[#This Row],[Impressions]]/1000),0)</f>
        <v>150.30927582766438</v>
      </c>
      <c r="S244" s="5">
        <f>IFERROR(Table1[[#This Row],[Viewable Impressions]]/Table1[[#This Row],[Measurable Impressions]],0)</f>
        <v>0.77334885074192605</v>
      </c>
      <c r="T244" s="10">
        <f>IFERROR(1000*Table1[[#This Row],[Gross Cost]]/Table1[[#This Row],[Viewable Impressions]],0)</f>
        <v>207.82038700777528</v>
      </c>
      <c r="U244" s="10"/>
    </row>
    <row r="245" spans="1:21" x14ac:dyDescent="0.2">
      <c r="A245" t="s">
        <v>747</v>
      </c>
      <c r="B245" t="s">
        <v>21</v>
      </c>
      <c r="C245" t="s">
        <v>30</v>
      </c>
      <c r="D245" t="s">
        <v>16</v>
      </c>
      <c r="E245" t="str">
        <f>TRIM(RIGHT(Table1[[#This Row],[Location]],LEN(Table1[[#This Row],[Location]])-FIND(",",Table1[[#This Row],[Location]])))</f>
        <v>California</v>
      </c>
      <c r="F245" t="s">
        <v>742</v>
      </c>
      <c r="G245" t="s">
        <v>18</v>
      </c>
      <c r="H245" t="s">
        <v>26</v>
      </c>
      <c r="I245">
        <v>40859</v>
      </c>
      <c r="J245">
        <v>144</v>
      </c>
      <c r="K245">
        <v>17695</v>
      </c>
      <c r="L245">
        <v>37108</v>
      </c>
      <c r="M245">
        <v>4</v>
      </c>
      <c r="N245">
        <v>6130.3684249999997</v>
      </c>
      <c r="O245" s="7">
        <f>IFERROR(Table1[[#This Row],[Clicks]]/Table1[[#This Row],[Impressions]],0)</f>
        <v>3.5243153283242368E-3</v>
      </c>
      <c r="P245" s="5">
        <f>IFERROR(Table1[[#This Row],[Total Conversions]]/Table1[[#This Row],[Clicks]],0)</f>
        <v>2.7777777777777776E-2</v>
      </c>
      <c r="Q245" s="10">
        <f>IFERROR(Table1[[#This Row],[Gross Cost]]/Table1[[#This Row],[Total Conversions]],0)</f>
        <v>1532.5921062499999</v>
      </c>
      <c r="R245" s="10">
        <f>IFERROR(Table1[[#This Row],[Gross Cost]]/(Table1[[#This Row],[Impressions]]/1000),0)</f>
        <v>150.0371625590445</v>
      </c>
      <c r="S245" s="5">
        <f>IFERROR(Table1[[#This Row],[Viewable Impressions]]/Table1[[#This Row],[Measurable Impressions]],0)</f>
        <v>0.47685135280801982</v>
      </c>
      <c r="T245" s="10">
        <f>IFERROR(1000*Table1[[#This Row],[Gross Cost]]/Table1[[#This Row],[Viewable Impressions]],0)</f>
        <v>346.44636479231423</v>
      </c>
      <c r="U245" s="10"/>
    </row>
    <row r="246" spans="1:21" x14ac:dyDescent="0.2">
      <c r="A246" t="s">
        <v>893</v>
      </c>
      <c r="B246" t="s">
        <v>21</v>
      </c>
      <c r="C246" t="s">
        <v>30</v>
      </c>
      <c r="D246" t="s">
        <v>31</v>
      </c>
      <c r="E246" t="str">
        <f>TRIM(RIGHT(Table1[[#This Row],[Location]],LEN(Table1[[#This Row],[Location]])-FIND(",",Table1[[#This Row],[Location]])))</f>
        <v>Michigan</v>
      </c>
      <c r="F246" t="s">
        <v>892</v>
      </c>
      <c r="G246" t="s">
        <v>45</v>
      </c>
      <c r="H246" t="s">
        <v>26</v>
      </c>
      <c r="I246">
        <v>10707</v>
      </c>
      <c r="J246">
        <v>57</v>
      </c>
      <c r="K246">
        <v>6300</v>
      </c>
      <c r="L246">
        <v>10089</v>
      </c>
      <c r="M246">
        <v>3</v>
      </c>
      <c r="N246">
        <v>1603.8592639999999</v>
      </c>
      <c r="O246" s="7">
        <f>IFERROR(Table1[[#This Row],[Clicks]]/Table1[[#This Row],[Impressions]],0)</f>
        <v>5.3236200616419167E-3</v>
      </c>
      <c r="P246" s="5">
        <f>IFERROR(Table1[[#This Row],[Total Conversions]]/Table1[[#This Row],[Clicks]],0)</f>
        <v>5.2631578947368418E-2</v>
      </c>
      <c r="Q246" s="10">
        <f>IFERROR(Table1[[#This Row],[Gross Cost]]/Table1[[#This Row],[Total Conversions]],0)</f>
        <v>534.61975466666661</v>
      </c>
      <c r="R246" s="10">
        <f>IFERROR(Table1[[#This Row],[Gross Cost]]/(Table1[[#This Row],[Impressions]]/1000),0)</f>
        <v>149.79539217334454</v>
      </c>
      <c r="S246" s="5">
        <f>IFERROR(Table1[[#This Row],[Viewable Impressions]]/Table1[[#This Row],[Measurable Impressions]],0)</f>
        <v>0.62444246208742193</v>
      </c>
      <c r="T246" s="10">
        <f>IFERROR(1000*Table1[[#This Row],[Gross Cost]]/Table1[[#This Row],[Viewable Impressions]],0)</f>
        <v>254.58083555555555</v>
      </c>
      <c r="U246" s="10"/>
    </row>
    <row r="247" spans="1:21" x14ac:dyDescent="0.2">
      <c r="A247" t="s">
        <v>599</v>
      </c>
      <c r="B247" t="s">
        <v>21</v>
      </c>
      <c r="C247" t="s">
        <v>30</v>
      </c>
      <c r="D247" t="s">
        <v>34</v>
      </c>
      <c r="E247" t="str">
        <f>TRIM(RIGHT(Table1[[#This Row],[Location]],LEN(Table1[[#This Row],[Location]])-FIND(",",Table1[[#This Row],[Location]])))</f>
        <v>Illinois</v>
      </c>
      <c r="F247" t="s">
        <v>597</v>
      </c>
      <c r="G247" t="s">
        <v>18</v>
      </c>
      <c r="H247" t="s">
        <v>26</v>
      </c>
      <c r="I247">
        <v>38396</v>
      </c>
      <c r="J247">
        <v>87</v>
      </c>
      <c r="K247">
        <v>6305</v>
      </c>
      <c r="L247">
        <v>35118</v>
      </c>
      <c r="M247">
        <v>9</v>
      </c>
      <c r="N247">
        <v>5740.164546</v>
      </c>
      <c r="O247" s="7">
        <f>IFERROR(Table1[[#This Row],[Clicks]]/Table1[[#This Row],[Impressions]],0)</f>
        <v>2.2658610271903325E-3</v>
      </c>
      <c r="P247" s="5">
        <f>IFERROR(Table1[[#This Row],[Total Conversions]]/Table1[[#This Row],[Clicks]],0)</f>
        <v>0.10344827586206896</v>
      </c>
      <c r="Q247" s="10">
        <f>IFERROR(Table1[[#This Row],[Gross Cost]]/Table1[[#This Row],[Total Conversions]],0)</f>
        <v>637.79606066666668</v>
      </c>
      <c r="R247" s="10">
        <f>IFERROR(Table1[[#This Row],[Gross Cost]]/(Table1[[#This Row],[Impressions]]/1000),0)</f>
        <v>149.4990245338056</v>
      </c>
      <c r="S247" s="5">
        <f>IFERROR(Table1[[#This Row],[Viewable Impressions]]/Table1[[#This Row],[Measurable Impressions]],0)</f>
        <v>0.17953755908650834</v>
      </c>
      <c r="T247" s="10">
        <f>IFERROR(1000*Table1[[#This Row],[Gross Cost]]/Table1[[#This Row],[Viewable Impressions]],0)</f>
        <v>910.41467819191121</v>
      </c>
      <c r="U247" s="10"/>
    </row>
    <row r="248" spans="1:21" x14ac:dyDescent="0.2">
      <c r="A248" t="s">
        <v>229</v>
      </c>
      <c r="B248" t="s">
        <v>14</v>
      </c>
      <c r="C248" t="s">
        <v>15</v>
      </c>
      <c r="D248" t="s">
        <v>77</v>
      </c>
      <c r="E248" t="str">
        <f>TRIM(RIGHT(Table1[[#This Row],[Location]],LEN(Table1[[#This Row],[Location]])-FIND(",",Table1[[#This Row],[Location]])))</f>
        <v>New York</v>
      </c>
      <c r="F248" t="s">
        <v>227</v>
      </c>
      <c r="G248" t="s">
        <v>230</v>
      </c>
      <c r="H248" t="s">
        <v>19</v>
      </c>
      <c r="I248">
        <v>12176</v>
      </c>
      <c r="J248">
        <v>10</v>
      </c>
      <c r="K248">
        <v>5460</v>
      </c>
      <c r="L248">
        <v>11154</v>
      </c>
      <c r="M248">
        <v>10</v>
      </c>
      <c r="N248">
        <v>1816.030806</v>
      </c>
      <c r="O248" s="7">
        <f>IFERROR(Table1[[#This Row],[Clicks]]/Table1[[#This Row],[Impressions]],0)</f>
        <v>8.212877792378449E-4</v>
      </c>
      <c r="P248" s="5">
        <f>IFERROR(Table1[[#This Row],[Total Conversions]]/Table1[[#This Row],[Clicks]],0)</f>
        <v>1</v>
      </c>
      <c r="Q248" s="10">
        <f>IFERROR(Table1[[#This Row],[Gross Cost]]/Table1[[#This Row],[Total Conversions]],0)</f>
        <v>181.6030806</v>
      </c>
      <c r="R248" s="10">
        <f>IFERROR(Table1[[#This Row],[Gross Cost]]/(Table1[[#This Row],[Impressions]]/1000),0)</f>
        <v>149.14839076872536</v>
      </c>
      <c r="S248" s="5">
        <f>IFERROR(Table1[[#This Row],[Viewable Impressions]]/Table1[[#This Row],[Measurable Impressions]],0)</f>
        <v>0.48951048951048953</v>
      </c>
      <c r="T248" s="10">
        <f>IFERROR(1000*Table1[[#This Row],[Gross Cost]]/Table1[[#This Row],[Viewable Impressions]],0)</f>
        <v>332.60637472527475</v>
      </c>
      <c r="U248" s="10"/>
    </row>
    <row r="249" spans="1:21" x14ac:dyDescent="0.2">
      <c r="A249" t="s">
        <v>211</v>
      </c>
      <c r="B249" t="s">
        <v>21</v>
      </c>
      <c r="C249" t="s">
        <v>22</v>
      </c>
      <c r="D249" t="s">
        <v>34</v>
      </c>
      <c r="E249" t="str">
        <f>TRIM(RIGHT(Table1[[#This Row],[Location]],LEN(Table1[[#This Row],[Location]])-FIND(",",Table1[[#This Row],[Location]])))</f>
        <v>Illinois</v>
      </c>
      <c r="F249" t="s">
        <v>210</v>
      </c>
      <c r="G249" t="s">
        <v>47</v>
      </c>
      <c r="H249" t="s">
        <v>26</v>
      </c>
      <c r="I249">
        <v>20548</v>
      </c>
      <c r="J249">
        <v>40</v>
      </c>
      <c r="K249">
        <v>14259</v>
      </c>
      <c r="L249">
        <v>19654</v>
      </c>
      <c r="M249">
        <v>13</v>
      </c>
      <c r="N249">
        <v>3060.4247690000002</v>
      </c>
      <c r="O249" s="7">
        <f>IFERROR(Table1[[#This Row],[Clicks]]/Table1[[#This Row],[Impressions]],0)</f>
        <v>1.9466614755693985E-3</v>
      </c>
      <c r="P249" s="5">
        <f>IFERROR(Table1[[#This Row],[Total Conversions]]/Table1[[#This Row],[Clicks]],0)</f>
        <v>0.32500000000000001</v>
      </c>
      <c r="Q249" s="10">
        <f>IFERROR(Table1[[#This Row],[Gross Cost]]/Table1[[#This Row],[Total Conversions]],0)</f>
        <v>235.41728992307694</v>
      </c>
      <c r="R249" s="10">
        <f>IFERROR(Table1[[#This Row],[Gross Cost]]/(Table1[[#This Row],[Impressions]]/1000),0)</f>
        <v>148.94027491726692</v>
      </c>
      <c r="S249" s="5">
        <f>IFERROR(Table1[[#This Row],[Viewable Impressions]]/Table1[[#This Row],[Measurable Impressions]],0)</f>
        <v>0.72550117024524274</v>
      </c>
      <c r="T249" s="10">
        <f>IFERROR(1000*Table1[[#This Row],[Gross Cost]]/Table1[[#This Row],[Viewable Impressions]],0)</f>
        <v>214.63109397573464</v>
      </c>
      <c r="U249" s="10"/>
    </row>
    <row r="250" spans="1:21" x14ac:dyDescent="0.2">
      <c r="A250" t="s">
        <v>167</v>
      </c>
      <c r="B250" t="s">
        <v>14</v>
      </c>
      <c r="C250" t="s">
        <v>15</v>
      </c>
      <c r="D250" t="s">
        <v>34</v>
      </c>
      <c r="E250" t="str">
        <f>TRIM(RIGHT(Table1[[#This Row],[Location]],LEN(Table1[[#This Row],[Location]])-FIND(",",Table1[[#This Row],[Location]])))</f>
        <v>Illinois</v>
      </c>
      <c r="F250" t="s">
        <v>165</v>
      </c>
      <c r="G250" t="s">
        <v>160</v>
      </c>
      <c r="H250" t="s">
        <v>26</v>
      </c>
      <c r="I250">
        <v>11296</v>
      </c>
      <c r="J250">
        <v>54</v>
      </c>
      <c r="K250">
        <v>6822</v>
      </c>
      <c r="L250">
        <v>9274</v>
      </c>
      <c r="M250">
        <v>4</v>
      </c>
      <c r="N250">
        <v>1682.338499</v>
      </c>
      <c r="O250" s="7">
        <f>IFERROR(Table1[[#This Row],[Clicks]]/Table1[[#This Row],[Impressions]],0)</f>
        <v>4.7804532577903685E-3</v>
      </c>
      <c r="P250" s="5">
        <f>IFERROR(Table1[[#This Row],[Total Conversions]]/Table1[[#This Row],[Clicks]],0)</f>
        <v>7.407407407407407E-2</v>
      </c>
      <c r="Q250" s="10">
        <f>IFERROR(Table1[[#This Row],[Gross Cost]]/Table1[[#This Row],[Total Conversions]],0)</f>
        <v>420.58462474999999</v>
      </c>
      <c r="R250" s="10">
        <f>IFERROR(Table1[[#This Row],[Gross Cost]]/(Table1[[#This Row],[Impressions]]/1000),0)</f>
        <v>148.93223256019832</v>
      </c>
      <c r="S250" s="5">
        <f>IFERROR(Table1[[#This Row],[Viewable Impressions]]/Table1[[#This Row],[Measurable Impressions]],0)</f>
        <v>0.73560491697218033</v>
      </c>
      <c r="T250" s="10">
        <f>IFERROR(1000*Table1[[#This Row],[Gross Cost]]/Table1[[#This Row],[Viewable Impressions]],0)</f>
        <v>246.6048811199062</v>
      </c>
      <c r="U250" s="10"/>
    </row>
    <row r="251" spans="1:21" x14ac:dyDescent="0.2">
      <c r="A251" t="s">
        <v>745</v>
      </c>
      <c r="B251" t="s">
        <v>21</v>
      </c>
      <c r="C251" t="s">
        <v>15</v>
      </c>
      <c r="D251" t="s">
        <v>203</v>
      </c>
      <c r="E251" t="str">
        <f>TRIM(RIGHT(Table1[[#This Row],[Location]],LEN(Table1[[#This Row],[Location]])-FIND(",",Table1[[#This Row],[Location]])))</f>
        <v>Michigan</v>
      </c>
      <c r="F251" t="s">
        <v>742</v>
      </c>
      <c r="G251" t="s">
        <v>116</v>
      </c>
      <c r="H251" t="s">
        <v>26</v>
      </c>
      <c r="I251">
        <v>42459</v>
      </c>
      <c r="J251">
        <v>121</v>
      </c>
      <c r="K251">
        <v>15187</v>
      </c>
      <c r="L251">
        <v>37408</v>
      </c>
      <c r="M251">
        <v>11</v>
      </c>
      <c r="N251">
        <v>6321.4916890000004</v>
      </c>
      <c r="O251" s="7">
        <f>IFERROR(Table1[[#This Row],[Clicks]]/Table1[[#This Row],[Impressions]],0)</f>
        <v>2.8498080501189382E-3</v>
      </c>
      <c r="P251" s="5">
        <f>IFERROR(Table1[[#This Row],[Total Conversions]]/Table1[[#This Row],[Clicks]],0)</f>
        <v>9.0909090909090912E-2</v>
      </c>
      <c r="Q251" s="10">
        <f>IFERROR(Table1[[#This Row],[Gross Cost]]/Table1[[#This Row],[Total Conversions]],0)</f>
        <v>574.68106263636366</v>
      </c>
      <c r="R251" s="10">
        <f>IFERROR(Table1[[#This Row],[Gross Cost]]/(Table1[[#This Row],[Impressions]]/1000),0)</f>
        <v>148.88461077745589</v>
      </c>
      <c r="S251" s="5">
        <f>IFERROR(Table1[[#This Row],[Viewable Impressions]]/Table1[[#This Row],[Measurable Impressions]],0)</f>
        <v>0.40598267750213857</v>
      </c>
      <c r="T251" s="10">
        <f>IFERROR(1000*Table1[[#This Row],[Gross Cost]]/Table1[[#This Row],[Viewable Impressions]],0)</f>
        <v>416.24360894185816</v>
      </c>
      <c r="U251" s="10"/>
    </row>
    <row r="252" spans="1:21" x14ac:dyDescent="0.2">
      <c r="A252" t="s">
        <v>204</v>
      </c>
      <c r="B252" t="s">
        <v>14</v>
      </c>
      <c r="C252" t="s">
        <v>22</v>
      </c>
      <c r="D252" t="s">
        <v>28</v>
      </c>
      <c r="E252" t="str">
        <f>TRIM(RIGHT(Table1[[#This Row],[Location]],LEN(Table1[[#This Row],[Location]])-FIND(",",Table1[[#This Row],[Location]])))</f>
        <v>California</v>
      </c>
      <c r="F252" t="s">
        <v>196</v>
      </c>
      <c r="G252" t="s">
        <v>25</v>
      </c>
      <c r="H252" t="s">
        <v>26</v>
      </c>
      <c r="I252">
        <v>13700</v>
      </c>
      <c r="J252">
        <v>63</v>
      </c>
      <c r="K252">
        <v>3609</v>
      </c>
      <c r="L252">
        <v>12644</v>
      </c>
      <c r="M252">
        <v>4</v>
      </c>
      <c r="N252">
        <v>2032.700147</v>
      </c>
      <c r="O252" s="7">
        <f>IFERROR(Table1[[#This Row],[Clicks]]/Table1[[#This Row],[Impressions]],0)</f>
        <v>4.5985401459854016E-3</v>
      </c>
      <c r="P252" s="5">
        <f>IFERROR(Table1[[#This Row],[Total Conversions]]/Table1[[#This Row],[Clicks]],0)</f>
        <v>6.3492063492063489E-2</v>
      </c>
      <c r="Q252" s="10">
        <f>IFERROR(Table1[[#This Row],[Gross Cost]]/Table1[[#This Row],[Total Conversions]],0)</f>
        <v>508.17503675</v>
      </c>
      <c r="R252" s="10">
        <f>IFERROR(Table1[[#This Row],[Gross Cost]]/(Table1[[#This Row],[Impressions]]/1000),0)</f>
        <v>148.37227350364964</v>
      </c>
      <c r="S252" s="5">
        <f>IFERROR(Table1[[#This Row],[Viewable Impressions]]/Table1[[#This Row],[Measurable Impressions]],0)</f>
        <v>0.2854318253717178</v>
      </c>
      <c r="T252" s="10">
        <f>IFERROR(1000*Table1[[#This Row],[Gross Cost]]/Table1[[#This Row],[Viewable Impressions]],0)</f>
        <v>563.23085259074537</v>
      </c>
      <c r="U252" s="10"/>
    </row>
    <row r="253" spans="1:21" x14ac:dyDescent="0.2">
      <c r="A253" t="s">
        <v>87</v>
      </c>
      <c r="B253" t="s">
        <v>14</v>
      </c>
      <c r="C253" t="s">
        <v>41</v>
      </c>
      <c r="D253" t="s">
        <v>16</v>
      </c>
      <c r="E253" t="str">
        <f>TRIM(RIGHT(Table1[[#This Row],[Location]],LEN(Table1[[#This Row],[Location]])-FIND(",",Table1[[#This Row],[Location]])))</f>
        <v>California</v>
      </c>
      <c r="F253" t="s">
        <v>86</v>
      </c>
      <c r="G253" t="s">
        <v>18</v>
      </c>
      <c r="H253" t="s">
        <v>26</v>
      </c>
      <c r="I253">
        <v>12864</v>
      </c>
      <c r="J253">
        <v>84</v>
      </c>
      <c r="K253">
        <v>5549</v>
      </c>
      <c r="L253">
        <v>11852</v>
      </c>
      <c r="M253">
        <v>5</v>
      </c>
      <c r="N253">
        <v>1905.8896930000001</v>
      </c>
      <c r="O253" s="7">
        <f>IFERROR(Table1[[#This Row],[Clicks]]/Table1[[#This Row],[Impressions]],0)</f>
        <v>6.5298507462686565E-3</v>
      </c>
      <c r="P253" s="5">
        <f>IFERROR(Table1[[#This Row],[Total Conversions]]/Table1[[#This Row],[Clicks]],0)</f>
        <v>5.9523809523809521E-2</v>
      </c>
      <c r="Q253" s="10">
        <f>IFERROR(Table1[[#This Row],[Gross Cost]]/Table1[[#This Row],[Total Conversions]],0)</f>
        <v>381.1779386</v>
      </c>
      <c r="R253" s="10">
        <f>IFERROR(Table1[[#This Row],[Gross Cost]]/(Table1[[#This Row],[Impressions]]/1000),0)</f>
        <v>148.15684802549751</v>
      </c>
      <c r="S253" s="5">
        <f>IFERROR(Table1[[#This Row],[Viewable Impressions]]/Table1[[#This Row],[Measurable Impressions]],0)</f>
        <v>0.46819102261221734</v>
      </c>
      <c r="T253" s="10">
        <f>IFERROR(1000*Table1[[#This Row],[Gross Cost]]/Table1[[#This Row],[Viewable Impressions]],0)</f>
        <v>343.46543395206345</v>
      </c>
      <c r="U253" s="10"/>
    </row>
    <row r="254" spans="1:21" x14ac:dyDescent="0.2">
      <c r="A254" t="s">
        <v>205</v>
      </c>
      <c r="B254" t="s">
        <v>14</v>
      </c>
      <c r="C254" t="s">
        <v>30</v>
      </c>
      <c r="D254" t="s">
        <v>54</v>
      </c>
      <c r="E254" t="str">
        <f>TRIM(RIGHT(Table1[[#This Row],[Location]],LEN(Table1[[#This Row],[Location]])-FIND(",",Table1[[#This Row],[Location]])))</f>
        <v>Florida</v>
      </c>
      <c r="F254" t="s">
        <v>196</v>
      </c>
      <c r="G254" t="s">
        <v>116</v>
      </c>
      <c r="H254" t="s">
        <v>19</v>
      </c>
      <c r="I254">
        <v>13075</v>
      </c>
      <c r="J254">
        <v>74</v>
      </c>
      <c r="K254">
        <v>5980</v>
      </c>
      <c r="L254">
        <v>12114</v>
      </c>
      <c r="M254">
        <v>15</v>
      </c>
      <c r="N254">
        <v>1936.1307979999999</v>
      </c>
      <c r="O254" s="7">
        <f>IFERROR(Table1[[#This Row],[Clicks]]/Table1[[#This Row],[Impressions]],0)</f>
        <v>5.659655831739962E-3</v>
      </c>
      <c r="P254" s="5">
        <f>IFERROR(Table1[[#This Row],[Total Conversions]]/Table1[[#This Row],[Clicks]],0)</f>
        <v>0.20270270270270271</v>
      </c>
      <c r="Q254" s="10">
        <f>IFERROR(Table1[[#This Row],[Gross Cost]]/Table1[[#This Row],[Total Conversions]],0)</f>
        <v>129.07538653333333</v>
      </c>
      <c r="R254" s="10">
        <f>IFERROR(Table1[[#This Row],[Gross Cost]]/(Table1[[#This Row],[Impressions]]/1000),0)</f>
        <v>148.07883732313576</v>
      </c>
      <c r="S254" s="5">
        <f>IFERROR(Table1[[#This Row],[Viewable Impressions]]/Table1[[#This Row],[Measurable Impressions]],0)</f>
        <v>0.49364371801221729</v>
      </c>
      <c r="T254" s="10">
        <f>IFERROR(1000*Table1[[#This Row],[Gross Cost]]/Table1[[#This Row],[Viewable Impressions]],0)</f>
        <v>323.76769197324415</v>
      </c>
      <c r="U254" s="10"/>
    </row>
    <row r="255" spans="1:21" x14ac:dyDescent="0.2">
      <c r="A255" t="s">
        <v>744</v>
      </c>
      <c r="B255" t="s">
        <v>21</v>
      </c>
      <c r="C255" t="s">
        <v>22</v>
      </c>
      <c r="D255" t="s">
        <v>182</v>
      </c>
      <c r="E255" t="str">
        <f>TRIM(RIGHT(Table1[[#This Row],[Location]],LEN(Table1[[#This Row],[Location]])-FIND(",",Table1[[#This Row],[Location]])))</f>
        <v>Tennessee</v>
      </c>
      <c r="F255" t="s">
        <v>742</v>
      </c>
      <c r="G255" t="s">
        <v>49</v>
      </c>
      <c r="H255" t="s">
        <v>26</v>
      </c>
      <c r="I255">
        <v>44889</v>
      </c>
      <c r="J255">
        <v>125</v>
      </c>
      <c r="K255">
        <v>17477</v>
      </c>
      <c r="L255">
        <v>38621</v>
      </c>
      <c r="M255">
        <v>25</v>
      </c>
      <c r="N255">
        <v>6644.954146</v>
      </c>
      <c r="O255" s="7">
        <f>IFERROR(Table1[[#This Row],[Clicks]]/Table1[[#This Row],[Impressions]],0)</f>
        <v>2.7846465726569982E-3</v>
      </c>
      <c r="P255" s="5">
        <f>IFERROR(Table1[[#This Row],[Total Conversions]]/Table1[[#This Row],[Clicks]],0)</f>
        <v>0.2</v>
      </c>
      <c r="Q255" s="10">
        <f>IFERROR(Table1[[#This Row],[Gross Cost]]/Table1[[#This Row],[Total Conversions]],0)</f>
        <v>265.79816584000002</v>
      </c>
      <c r="R255" s="10">
        <f>IFERROR(Table1[[#This Row],[Gross Cost]]/(Table1[[#This Row],[Impressions]]/1000),0)</f>
        <v>148.03079030497449</v>
      </c>
      <c r="S255" s="5">
        <f>IFERROR(Table1[[#This Row],[Viewable Impressions]]/Table1[[#This Row],[Measurable Impressions]],0)</f>
        <v>0.45252582791745422</v>
      </c>
      <c r="T255" s="10">
        <f>IFERROR(1000*Table1[[#This Row],[Gross Cost]]/Table1[[#This Row],[Viewable Impressions]],0)</f>
        <v>380.21137186015903</v>
      </c>
      <c r="U255" s="10"/>
    </row>
    <row r="256" spans="1:21" x14ac:dyDescent="0.2">
      <c r="A256" t="s">
        <v>478</v>
      </c>
      <c r="B256" t="s">
        <v>21</v>
      </c>
      <c r="C256" t="s">
        <v>15</v>
      </c>
      <c r="D256" t="s">
        <v>34</v>
      </c>
      <c r="E256" t="str">
        <f>TRIM(RIGHT(Table1[[#This Row],[Location]],LEN(Table1[[#This Row],[Location]])-FIND(",",Table1[[#This Row],[Location]])))</f>
        <v>Illinois</v>
      </c>
      <c r="F256" t="s">
        <v>479</v>
      </c>
      <c r="G256" t="s">
        <v>18</v>
      </c>
      <c r="H256" t="s">
        <v>26</v>
      </c>
      <c r="I256">
        <v>42759</v>
      </c>
      <c r="J256">
        <v>177</v>
      </c>
      <c r="K256">
        <v>17744</v>
      </c>
      <c r="L256">
        <v>34812</v>
      </c>
      <c r="M256">
        <v>12</v>
      </c>
      <c r="N256">
        <v>6316.4880540000004</v>
      </c>
      <c r="O256" s="7">
        <f>IFERROR(Table1[[#This Row],[Clicks]]/Table1[[#This Row],[Impressions]],0)</f>
        <v>4.1394794078439623E-3</v>
      </c>
      <c r="P256" s="5">
        <f>IFERROR(Table1[[#This Row],[Total Conversions]]/Table1[[#This Row],[Clicks]],0)</f>
        <v>6.7796610169491525E-2</v>
      </c>
      <c r="Q256" s="10">
        <f>IFERROR(Table1[[#This Row],[Gross Cost]]/Table1[[#This Row],[Total Conversions]],0)</f>
        <v>526.37400450000007</v>
      </c>
      <c r="R256" s="10">
        <f>IFERROR(Table1[[#This Row],[Gross Cost]]/(Table1[[#This Row],[Impressions]]/1000),0)</f>
        <v>147.72300694590612</v>
      </c>
      <c r="S256" s="5">
        <f>IFERROR(Table1[[#This Row],[Viewable Impressions]]/Table1[[#This Row],[Measurable Impressions]],0)</f>
        <v>0.50970929564517986</v>
      </c>
      <c r="T256" s="10">
        <f>IFERROR(1000*Table1[[#This Row],[Gross Cost]]/Table1[[#This Row],[Viewable Impressions]],0)</f>
        <v>355.97881278178539</v>
      </c>
      <c r="U256" s="10"/>
    </row>
    <row r="257" spans="1:21" x14ac:dyDescent="0.2">
      <c r="A257" t="s">
        <v>791</v>
      </c>
      <c r="B257" t="s">
        <v>14</v>
      </c>
      <c r="C257" t="s">
        <v>41</v>
      </c>
      <c r="D257" t="s">
        <v>34</v>
      </c>
      <c r="E257" t="str">
        <f>TRIM(RIGHT(Table1[[#This Row],[Location]],LEN(Table1[[#This Row],[Location]])-FIND(",",Table1[[#This Row],[Location]])))</f>
        <v>Illinois</v>
      </c>
      <c r="F257" t="s">
        <v>792</v>
      </c>
      <c r="G257" t="s">
        <v>116</v>
      </c>
      <c r="H257" t="s">
        <v>26</v>
      </c>
      <c r="I257">
        <v>11289</v>
      </c>
      <c r="J257">
        <v>97</v>
      </c>
      <c r="K257">
        <v>1345</v>
      </c>
      <c r="L257">
        <v>8187</v>
      </c>
      <c r="M257">
        <v>3</v>
      </c>
      <c r="N257">
        <v>1665.160445</v>
      </c>
      <c r="O257" s="7">
        <f>IFERROR(Table1[[#This Row],[Clicks]]/Table1[[#This Row],[Impressions]],0)</f>
        <v>8.5924351138276199E-3</v>
      </c>
      <c r="P257" s="5">
        <f>IFERROR(Table1[[#This Row],[Total Conversions]]/Table1[[#This Row],[Clicks]],0)</f>
        <v>3.0927835051546393E-2</v>
      </c>
      <c r="Q257" s="10">
        <f>IFERROR(Table1[[#This Row],[Gross Cost]]/Table1[[#This Row],[Total Conversions]],0)</f>
        <v>555.0534816666667</v>
      </c>
      <c r="R257" s="10">
        <f>IFERROR(Table1[[#This Row],[Gross Cost]]/(Table1[[#This Row],[Impressions]]/1000),0)</f>
        <v>147.50291832757551</v>
      </c>
      <c r="S257" s="5">
        <f>IFERROR(Table1[[#This Row],[Viewable Impressions]]/Table1[[#This Row],[Measurable Impressions]],0)</f>
        <v>0.16428484182240136</v>
      </c>
      <c r="T257" s="10">
        <f>IFERROR(1000*Table1[[#This Row],[Gross Cost]]/Table1[[#This Row],[Viewable Impressions]],0)</f>
        <v>1238.0375055762083</v>
      </c>
      <c r="U257" s="10"/>
    </row>
    <row r="258" spans="1:21" x14ac:dyDescent="0.2">
      <c r="A258" t="s">
        <v>923</v>
      </c>
      <c r="B258" t="s">
        <v>21</v>
      </c>
      <c r="C258" t="s">
        <v>22</v>
      </c>
      <c r="D258" t="s">
        <v>141</v>
      </c>
      <c r="E258" t="str">
        <f>TRIM(RIGHT(Table1[[#This Row],[Location]],LEN(Table1[[#This Row],[Location]])-FIND(",",Table1[[#This Row],[Location]])))</f>
        <v>Florida-Thomasville, Georgia</v>
      </c>
      <c r="F258" t="s">
        <v>918</v>
      </c>
      <c r="G258" t="s">
        <v>25</v>
      </c>
      <c r="H258" t="s">
        <v>26</v>
      </c>
      <c r="I258">
        <v>42884</v>
      </c>
      <c r="J258">
        <v>104</v>
      </c>
      <c r="K258">
        <v>4345</v>
      </c>
      <c r="L258">
        <v>25153</v>
      </c>
      <c r="M258">
        <v>9</v>
      </c>
      <c r="N258">
        <v>6322.1526549999999</v>
      </c>
      <c r="O258" s="7">
        <f>IFERROR(Table1[[#This Row],[Clicks]]/Table1[[#This Row],[Impressions]],0)</f>
        <v>2.4251469079376925E-3</v>
      </c>
      <c r="P258" s="5">
        <f>IFERROR(Table1[[#This Row],[Total Conversions]]/Table1[[#This Row],[Clicks]],0)</f>
        <v>8.6538461538461536E-2</v>
      </c>
      <c r="Q258" s="10">
        <f>IFERROR(Table1[[#This Row],[Gross Cost]]/Table1[[#This Row],[Total Conversions]],0)</f>
        <v>702.46140611111105</v>
      </c>
      <c r="R258" s="10">
        <f>IFERROR(Table1[[#This Row],[Gross Cost]]/(Table1[[#This Row],[Impressions]]/1000),0)</f>
        <v>147.42450925753195</v>
      </c>
      <c r="S258" s="5">
        <f>IFERROR(Table1[[#This Row],[Viewable Impressions]]/Table1[[#This Row],[Measurable Impressions]],0)</f>
        <v>0.17274281397845187</v>
      </c>
      <c r="T258" s="10">
        <f>IFERROR(1000*Table1[[#This Row],[Gross Cost]]/Table1[[#This Row],[Viewable Impressions]],0)</f>
        <v>1455.0408872266974</v>
      </c>
      <c r="U258" s="10"/>
    </row>
    <row r="259" spans="1:21" x14ac:dyDescent="0.2">
      <c r="A259" t="s">
        <v>691</v>
      </c>
      <c r="B259" t="s">
        <v>21</v>
      </c>
      <c r="C259" t="s">
        <v>22</v>
      </c>
      <c r="D259" t="s">
        <v>34</v>
      </c>
      <c r="E259" t="str">
        <f>TRIM(RIGHT(Table1[[#This Row],[Location]],LEN(Table1[[#This Row],[Location]])-FIND(",",Table1[[#This Row],[Location]])))</f>
        <v>Illinois</v>
      </c>
      <c r="F259" t="s">
        <v>692</v>
      </c>
      <c r="G259" t="s">
        <v>18</v>
      </c>
      <c r="H259" t="s">
        <v>26</v>
      </c>
      <c r="I259">
        <v>16239</v>
      </c>
      <c r="J259">
        <v>78</v>
      </c>
      <c r="K259">
        <v>9375</v>
      </c>
      <c r="L259">
        <v>15562</v>
      </c>
      <c r="M259">
        <v>5</v>
      </c>
      <c r="N259">
        <v>2387.686295</v>
      </c>
      <c r="O259" s="7">
        <f>IFERROR(Table1[[#This Row],[Clicks]]/Table1[[#This Row],[Impressions]],0)</f>
        <v>4.8032514317384077E-3</v>
      </c>
      <c r="P259" s="5">
        <f>IFERROR(Table1[[#This Row],[Total Conversions]]/Table1[[#This Row],[Clicks]],0)</f>
        <v>6.4102564102564097E-2</v>
      </c>
      <c r="Q259" s="10">
        <f>IFERROR(Table1[[#This Row],[Gross Cost]]/Table1[[#This Row],[Total Conversions]],0)</f>
        <v>477.53725900000001</v>
      </c>
      <c r="R259" s="10">
        <f>IFERROR(Table1[[#This Row],[Gross Cost]]/(Table1[[#This Row],[Impressions]]/1000),0)</f>
        <v>147.03407198719131</v>
      </c>
      <c r="S259" s="5">
        <f>IFERROR(Table1[[#This Row],[Viewable Impressions]]/Table1[[#This Row],[Measurable Impressions]],0)</f>
        <v>0.60242899370260894</v>
      </c>
      <c r="T259" s="10">
        <f>IFERROR(1000*Table1[[#This Row],[Gross Cost]]/Table1[[#This Row],[Viewable Impressions]],0)</f>
        <v>254.68653813333333</v>
      </c>
      <c r="U259" s="10"/>
    </row>
    <row r="260" spans="1:21" x14ac:dyDescent="0.2">
      <c r="A260" t="s">
        <v>344</v>
      </c>
      <c r="B260" t="s">
        <v>21</v>
      </c>
      <c r="C260" t="s">
        <v>30</v>
      </c>
      <c r="D260" t="s">
        <v>34</v>
      </c>
      <c r="E260" t="str">
        <f>TRIM(RIGHT(Table1[[#This Row],[Location]],LEN(Table1[[#This Row],[Location]])-FIND(",",Table1[[#This Row],[Location]])))</f>
        <v>Illinois</v>
      </c>
      <c r="F260" t="s">
        <v>345</v>
      </c>
      <c r="G260" t="s">
        <v>32</v>
      </c>
      <c r="H260" t="s">
        <v>26</v>
      </c>
      <c r="I260">
        <v>9920</v>
      </c>
      <c r="J260">
        <v>20</v>
      </c>
      <c r="K260">
        <v>6702</v>
      </c>
      <c r="L260">
        <v>9096</v>
      </c>
      <c r="M260">
        <v>10</v>
      </c>
      <c r="N260">
        <v>1453.11439</v>
      </c>
      <c r="O260" s="7">
        <f>IFERROR(Table1[[#This Row],[Clicks]]/Table1[[#This Row],[Impressions]],0)</f>
        <v>2.0161290322580645E-3</v>
      </c>
      <c r="P260" s="5">
        <f>IFERROR(Table1[[#This Row],[Total Conversions]]/Table1[[#This Row],[Clicks]],0)</f>
        <v>0.5</v>
      </c>
      <c r="Q260" s="10">
        <f>IFERROR(Table1[[#This Row],[Gross Cost]]/Table1[[#This Row],[Total Conversions]],0)</f>
        <v>145.31143900000001</v>
      </c>
      <c r="R260" s="10">
        <f>IFERROR(Table1[[#This Row],[Gross Cost]]/(Table1[[#This Row],[Impressions]]/1000),0)</f>
        <v>146.48330544354837</v>
      </c>
      <c r="S260" s="5">
        <f>IFERROR(Table1[[#This Row],[Viewable Impressions]]/Table1[[#This Row],[Measurable Impressions]],0)</f>
        <v>0.73680738786279687</v>
      </c>
      <c r="T260" s="10">
        <f>IFERROR(1000*Table1[[#This Row],[Gross Cost]]/Table1[[#This Row],[Viewable Impressions]],0)</f>
        <v>216.81802297821545</v>
      </c>
      <c r="U260" s="10"/>
    </row>
    <row r="261" spans="1:21" x14ac:dyDescent="0.2">
      <c r="A261" t="s">
        <v>148</v>
      </c>
      <c r="B261" t="s">
        <v>21</v>
      </c>
      <c r="C261" t="s">
        <v>30</v>
      </c>
      <c r="D261" t="s">
        <v>149</v>
      </c>
      <c r="E261" t="str">
        <f>TRIM(RIGHT(Table1[[#This Row],[Location]],LEN(Table1[[#This Row],[Location]])-FIND(",",Table1[[#This Row],[Location]])))</f>
        <v>Indiana</v>
      </c>
      <c r="F261" t="s">
        <v>144</v>
      </c>
      <c r="G261" t="s">
        <v>35</v>
      </c>
      <c r="H261" t="s">
        <v>26</v>
      </c>
      <c r="I261">
        <v>12354</v>
      </c>
      <c r="J261">
        <v>10</v>
      </c>
      <c r="K261">
        <v>8561</v>
      </c>
      <c r="L261">
        <v>11782</v>
      </c>
      <c r="M261">
        <v>5</v>
      </c>
      <c r="N261">
        <v>1808.307918</v>
      </c>
      <c r="O261" s="7">
        <f>IFERROR(Table1[[#This Row],[Clicks]]/Table1[[#This Row],[Impressions]],0)</f>
        <v>8.0945442771571965E-4</v>
      </c>
      <c r="P261" s="5">
        <f>IFERROR(Table1[[#This Row],[Total Conversions]]/Table1[[#This Row],[Clicks]],0)</f>
        <v>0.5</v>
      </c>
      <c r="Q261" s="10">
        <f>IFERROR(Table1[[#This Row],[Gross Cost]]/Table1[[#This Row],[Total Conversions]],0)</f>
        <v>361.66158359999997</v>
      </c>
      <c r="R261" s="10">
        <f>IFERROR(Table1[[#This Row],[Gross Cost]]/(Table1[[#This Row],[Impressions]]/1000),0)</f>
        <v>146.37428508984945</v>
      </c>
      <c r="S261" s="5">
        <f>IFERROR(Table1[[#This Row],[Viewable Impressions]]/Table1[[#This Row],[Measurable Impressions]],0)</f>
        <v>0.72661687319640134</v>
      </c>
      <c r="T261" s="10">
        <f>IFERROR(1000*Table1[[#This Row],[Gross Cost]]/Table1[[#This Row],[Viewable Impressions]],0)</f>
        <v>211.22624903632754</v>
      </c>
      <c r="U261" s="10"/>
    </row>
    <row r="262" spans="1:21" x14ac:dyDescent="0.2">
      <c r="A262" t="s">
        <v>959</v>
      </c>
      <c r="B262" t="s">
        <v>21</v>
      </c>
      <c r="C262" t="s">
        <v>30</v>
      </c>
      <c r="D262" t="s">
        <v>16</v>
      </c>
      <c r="E262" t="str">
        <f>TRIM(RIGHT(Table1[[#This Row],[Location]],LEN(Table1[[#This Row],[Location]])-FIND(",",Table1[[#This Row],[Location]])))</f>
        <v>California</v>
      </c>
      <c r="F262" t="s">
        <v>960</v>
      </c>
      <c r="G262" t="s">
        <v>18</v>
      </c>
      <c r="H262" t="s">
        <v>26</v>
      </c>
      <c r="I262">
        <v>42830</v>
      </c>
      <c r="J262">
        <v>160</v>
      </c>
      <c r="K262">
        <v>24499</v>
      </c>
      <c r="L262">
        <v>34496</v>
      </c>
      <c r="M262">
        <v>5</v>
      </c>
      <c r="N262">
        <v>6261.5757240000003</v>
      </c>
      <c r="O262" s="7">
        <f>IFERROR(Table1[[#This Row],[Clicks]]/Table1[[#This Row],[Impressions]],0)</f>
        <v>3.7356992762082653E-3</v>
      </c>
      <c r="P262" s="5">
        <f>IFERROR(Table1[[#This Row],[Total Conversions]]/Table1[[#This Row],[Clicks]],0)</f>
        <v>3.125E-2</v>
      </c>
      <c r="Q262" s="10">
        <f>IFERROR(Table1[[#This Row],[Gross Cost]]/Table1[[#This Row],[Total Conversions]],0)</f>
        <v>1252.3151448000001</v>
      </c>
      <c r="R262" s="10">
        <f>IFERROR(Table1[[#This Row],[Gross Cost]]/(Table1[[#This Row],[Impressions]]/1000),0)</f>
        <v>146.19602437543779</v>
      </c>
      <c r="S262" s="5">
        <f>IFERROR(Table1[[#This Row],[Viewable Impressions]]/Table1[[#This Row],[Measurable Impressions]],0)</f>
        <v>0.71019828385899819</v>
      </c>
      <c r="T262" s="10">
        <f>IFERROR(1000*Table1[[#This Row],[Gross Cost]]/Table1[[#This Row],[Viewable Impressions]],0)</f>
        <v>255.58495138577086</v>
      </c>
      <c r="U262" s="10"/>
    </row>
    <row r="263" spans="1:21" x14ac:dyDescent="0.2">
      <c r="A263" t="s">
        <v>330</v>
      </c>
      <c r="B263" t="s">
        <v>14</v>
      </c>
      <c r="C263" t="s">
        <v>30</v>
      </c>
      <c r="D263" t="s">
        <v>77</v>
      </c>
      <c r="E263" t="str">
        <f>TRIM(RIGHT(Table1[[#This Row],[Location]],LEN(Table1[[#This Row],[Location]])-FIND(",",Table1[[#This Row],[Location]])))</f>
        <v>New York</v>
      </c>
      <c r="F263" t="s">
        <v>331</v>
      </c>
      <c r="G263" t="s">
        <v>18</v>
      </c>
      <c r="H263" t="s">
        <v>26</v>
      </c>
      <c r="I263">
        <v>10942</v>
      </c>
      <c r="J263">
        <v>66</v>
      </c>
      <c r="K263">
        <v>4578</v>
      </c>
      <c r="L263">
        <v>9155</v>
      </c>
      <c r="M263">
        <v>3</v>
      </c>
      <c r="N263">
        <v>1595.752624</v>
      </c>
      <c r="O263" s="7">
        <f>IFERROR(Table1[[#This Row],[Clicks]]/Table1[[#This Row],[Impressions]],0)</f>
        <v>6.0318040577590935E-3</v>
      </c>
      <c r="P263" s="5">
        <f>IFERROR(Table1[[#This Row],[Total Conversions]]/Table1[[#This Row],[Clicks]],0)</f>
        <v>4.5454545454545456E-2</v>
      </c>
      <c r="Q263" s="10">
        <f>IFERROR(Table1[[#This Row],[Gross Cost]]/Table1[[#This Row],[Total Conversions]],0)</f>
        <v>531.91754133333336</v>
      </c>
      <c r="R263" s="10">
        <f>IFERROR(Table1[[#This Row],[Gross Cost]]/(Table1[[#This Row],[Impressions]]/1000),0)</f>
        <v>145.83738110034727</v>
      </c>
      <c r="S263" s="5">
        <f>IFERROR(Table1[[#This Row],[Viewable Impressions]]/Table1[[#This Row],[Measurable Impressions]],0)</f>
        <v>0.50005461496450032</v>
      </c>
      <c r="T263" s="10">
        <f>IFERROR(1000*Table1[[#This Row],[Gross Cost]]/Table1[[#This Row],[Viewable Impressions]],0)</f>
        <v>348.56981738750545</v>
      </c>
      <c r="U263" s="10"/>
    </row>
    <row r="264" spans="1:21" x14ac:dyDescent="0.2">
      <c r="A264" t="s">
        <v>307</v>
      </c>
      <c r="B264" t="s">
        <v>14</v>
      </c>
      <c r="C264" t="s">
        <v>41</v>
      </c>
      <c r="D264" t="s">
        <v>28</v>
      </c>
      <c r="E264" t="str">
        <f>TRIM(RIGHT(Table1[[#This Row],[Location]],LEN(Table1[[#This Row],[Location]])-FIND(",",Table1[[#This Row],[Location]])))</f>
        <v>California</v>
      </c>
      <c r="F264" t="s">
        <v>296</v>
      </c>
      <c r="G264" t="s">
        <v>18</v>
      </c>
      <c r="H264" t="s">
        <v>51</v>
      </c>
      <c r="I264">
        <v>39163</v>
      </c>
      <c r="J264">
        <v>113</v>
      </c>
      <c r="K264">
        <v>16254</v>
      </c>
      <c r="L264">
        <v>36526</v>
      </c>
      <c r="M264">
        <v>15</v>
      </c>
      <c r="N264">
        <v>5692.765813</v>
      </c>
      <c r="O264" s="7">
        <f>IFERROR(Table1[[#This Row],[Clicks]]/Table1[[#This Row],[Impressions]],0)</f>
        <v>2.8853765033322269E-3</v>
      </c>
      <c r="P264" s="5">
        <f>IFERROR(Table1[[#This Row],[Total Conversions]]/Table1[[#This Row],[Clicks]],0)</f>
        <v>0.13274336283185842</v>
      </c>
      <c r="Q264" s="10">
        <f>IFERROR(Table1[[#This Row],[Gross Cost]]/Table1[[#This Row],[Total Conversions]],0)</f>
        <v>379.51772086666665</v>
      </c>
      <c r="R264" s="10">
        <f>IFERROR(Table1[[#This Row],[Gross Cost]]/(Table1[[#This Row],[Impressions]]/1000),0)</f>
        <v>145.36082049383347</v>
      </c>
      <c r="S264" s="5">
        <f>IFERROR(Table1[[#This Row],[Viewable Impressions]]/Table1[[#This Row],[Measurable Impressions]],0)</f>
        <v>0.44499808355691833</v>
      </c>
      <c r="T264" s="10">
        <f>IFERROR(1000*Table1[[#This Row],[Gross Cost]]/Table1[[#This Row],[Viewable Impressions]],0)</f>
        <v>350.23783763996556</v>
      </c>
      <c r="U264" s="10"/>
    </row>
    <row r="265" spans="1:21" x14ac:dyDescent="0.2">
      <c r="A265" t="s">
        <v>147</v>
      </c>
      <c r="B265" t="s">
        <v>14</v>
      </c>
      <c r="C265" t="s">
        <v>30</v>
      </c>
      <c r="D265" t="s">
        <v>16</v>
      </c>
      <c r="E265" t="str">
        <f>TRIM(RIGHT(Table1[[#This Row],[Location]],LEN(Table1[[#This Row],[Location]])-FIND(",",Table1[[#This Row],[Location]])))</f>
        <v>California</v>
      </c>
      <c r="F265" t="s">
        <v>144</v>
      </c>
      <c r="G265" t="s">
        <v>45</v>
      </c>
      <c r="H265" t="s">
        <v>26</v>
      </c>
      <c r="I265">
        <v>20278</v>
      </c>
      <c r="J265">
        <v>74</v>
      </c>
      <c r="K265">
        <v>14227</v>
      </c>
      <c r="L265">
        <v>19480</v>
      </c>
      <c r="M265">
        <v>3</v>
      </c>
      <c r="N265">
        <v>2921.1102070000002</v>
      </c>
      <c r="O265" s="7">
        <f>IFERROR(Table1[[#This Row],[Clicks]]/Table1[[#This Row],[Impressions]],0)</f>
        <v>3.6492750764375186E-3</v>
      </c>
      <c r="P265" s="5">
        <f>IFERROR(Table1[[#This Row],[Total Conversions]]/Table1[[#This Row],[Clicks]],0)</f>
        <v>4.0540540540540543E-2</v>
      </c>
      <c r="Q265" s="10">
        <f>IFERROR(Table1[[#This Row],[Gross Cost]]/Table1[[#This Row],[Total Conversions]],0)</f>
        <v>973.70340233333343</v>
      </c>
      <c r="R265" s="10">
        <f>IFERROR(Table1[[#This Row],[Gross Cost]]/(Table1[[#This Row],[Impressions]]/1000),0)</f>
        <v>144.05317126935597</v>
      </c>
      <c r="S265" s="5">
        <f>IFERROR(Table1[[#This Row],[Viewable Impressions]]/Table1[[#This Row],[Measurable Impressions]],0)</f>
        <v>0.73033880903490755</v>
      </c>
      <c r="T265" s="10">
        <f>IFERROR(1000*Table1[[#This Row],[Gross Cost]]/Table1[[#This Row],[Viewable Impressions]],0)</f>
        <v>205.32158620932034</v>
      </c>
      <c r="U265" s="10"/>
    </row>
    <row r="266" spans="1:21" x14ac:dyDescent="0.2">
      <c r="A266" t="s">
        <v>880</v>
      </c>
      <c r="B266" t="s">
        <v>14</v>
      </c>
      <c r="C266" t="s">
        <v>41</v>
      </c>
      <c r="D266" t="s">
        <v>38</v>
      </c>
      <c r="E266" t="str">
        <f>TRIM(RIGHT(Table1[[#This Row],[Location]],LEN(Table1[[#This Row],[Location]])-FIND(",",Table1[[#This Row],[Location]])))</f>
        <v>Tennessee</v>
      </c>
      <c r="F266" t="s">
        <v>879</v>
      </c>
      <c r="G266" t="s">
        <v>18</v>
      </c>
      <c r="H266" t="s">
        <v>26</v>
      </c>
      <c r="I266">
        <v>12280</v>
      </c>
      <c r="J266">
        <v>40</v>
      </c>
      <c r="K266">
        <v>9613</v>
      </c>
      <c r="L266">
        <v>11247</v>
      </c>
      <c r="M266">
        <v>4</v>
      </c>
      <c r="N266">
        <v>1765.3987099999999</v>
      </c>
      <c r="O266" s="7">
        <f>IFERROR(Table1[[#This Row],[Clicks]]/Table1[[#This Row],[Impressions]],0)</f>
        <v>3.2573289902280132E-3</v>
      </c>
      <c r="P266" s="5">
        <f>IFERROR(Table1[[#This Row],[Total Conversions]]/Table1[[#This Row],[Clicks]],0)</f>
        <v>0.1</v>
      </c>
      <c r="Q266" s="10">
        <f>IFERROR(Table1[[#This Row],[Gross Cost]]/Table1[[#This Row],[Total Conversions]],0)</f>
        <v>441.34967749999998</v>
      </c>
      <c r="R266" s="10">
        <f>IFERROR(Table1[[#This Row],[Gross Cost]]/(Table1[[#This Row],[Impressions]]/1000),0)</f>
        <v>143.76210993485341</v>
      </c>
      <c r="S266" s="5">
        <f>IFERROR(Table1[[#This Row],[Viewable Impressions]]/Table1[[#This Row],[Measurable Impressions]],0)</f>
        <v>0.85471681337245486</v>
      </c>
      <c r="T266" s="10">
        <f>IFERROR(1000*Table1[[#This Row],[Gross Cost]]/Table1[[#This Row],[Viewable Impressions]],0)</f>
        <v>183.64701029855405</v>
      </c>
      <c r="U266" s="10"/>
    </row>
    <row r="267" spans="1:21" x14ac:dyDescent="0.2">
      <c r="A267" t="s">
        <v>863</v>
      </c>
      <c r="B267" t="s">
        <v>21</v>
      </c>
      <c r="C267" t="s">
        <v>22</v>
      </c>
      <c r="D267" t="s">
        <v>77</v>
      </c>
      <c r="E267" t="str">
        <f>TRIM(RIGHT(Table1[[#This Row],[Location]],LEN(Table1[[#This Row],[Location]])-FIND(",",Table1[[#This Row],[Location]])))</f>
        <v>New York</v>
      </c>
      <c r="F267" t="s">
        <v>864</v>
      </c>
      <c r="G267" t="s">
        <v>18</v>
      </c>
      <c r="H267" t="s">
        <v>26</v>
      </c>
      <c r="I267">
        <v>55445</v>
      </c>
      <c r="J267">
        <v>155</v>
      </c>
      <c r="K267">
        <v>4565</v>
      </c>
      <c r="L267">
        <v>53407</v>
      </c>
      <c r="M267">
        <v>36</v>
      </c>
      <c r="N267">
        <v>7948.4807520000004</v>
      </c>
      <c r="O267" s="7">
        <f>IFERROR(Table1[[#This Row],[Clicks]]/Table1[[#This Row],[Impressions]],0)</f>
        <v>2.7955631707097125E-3</v>
      </c>
      <c r="P267" s="5">
        <f>IFERROR(Table1[[#This Row],[Total Conversions]]/Table1[[#This Row],[Clicks]],0)</f>
        <v>0.23225806451612904</v>
      </c>
      <c r="Q267" s="10">
        <f>IFERROR(Table1[[#This Row],[Gross Cost]]/Table1[[#This Row],[Total Conversions]],0)</f>
        <v>220.791132</v>
      </c>
      <c r="R267" s="10">
        <f>IFERROR(Table1[[#This Row],[Gross Cost]]/(Table1[[#This Row],[Impressions]]/1000),0)</f>
        <v>143.35793582829831</v>
      </c>
      <c r="S267" s="5">
        <f>IFERROR(Table1[[#This Row],[Viewable Impressions]]/Table1[[#This Row],[Measurable Impressions]],0)</f>
        <v>8.5475686707734935E-2</v>
      </c>
      <c r="T267" s="10">
        <f>IFERROR(1000*Table1[[#This Row],[Gross Cost]]/Table1[[#This Row],[Viewable Impressions]],0)</f>
        <v>1741.1786970427163</v>
      </c>
      <c r="U267" s="10"/>
    </row>
    <row r="268" spans="1:21" x14ac:dyDescent="0.2">
      <c r="A268" t="s">
        <v>972</v>
      </c>
      <c r="B268" t="s">
        <v>14</v>
      </c>
      <c r="C268" t="s">
        <v>30</v>
      </c>
      <c r="D268" t="s">
        <v>77</v>
      </c>
      <c r="E268" t="str">
        <f>TRIM(RIGHT(Table1[[#This Row],[Location]],LEN(Table1[[#This Row],[Location]])-FIND(",",Table1[[#This Row],[Location]])))</f>
        <v>New York</v>
      </c>
      <c r="F268" t="s">
        <v>968</v>
      </c>
      <c r="G268" t="s">
        <v>18</v>
      </c>
      <c r="H268" t="s">
        <v>26</v>
      </c>
      <c r="I268">
        <v>9404</v>
      </c>
      <c r="J268">
        <v>30</v>
      </c>
      <c r="K268">
        <v>4781</v>
      </c>
      <c r="L268">
        <v>7943</v>
      </c>
      <c r="M268">
        <v>4</v>
      </c>
      <c r="N268">
        <v>1345.3689999999999</v>
      </c>
      <c r="O268" s="7">
        <f>IFERROR(Table1[[#This Row],[Clicks]]/Table1[[#This Row],[Impressions]],0)</f>
        <v>3.1901318587834963E-3</v>
      </c>
      <c r="P268" s="5">
        <f>IFERROR(Table1[[#This Row],[Total Conversions]]/Table1[[#This Row],[Clicks]],0)</f>
        <v>0.13333333333333333</v>
      </c>
      <c r="Q268" s="10">
        <f>IFERROR(Table1[[#This Row],[Gross Cost]]/Table1[[#This Row],[Total Conversions]],0)</f>
        <v>336.34224999999998</v>
      </c>
      <c r="R268" s="10">
        <f>IFERROR(Table1[[#This Row],[Gross Cost]]/(Table1[[#This Row],[Impressions]]/1000),0)</f>
        <v>143.06348362398978</v>
      </c>
      <c r="S268" s="5">
        <f>IFERROR(Table1[[#This Row],[Viewable Impressions]]/Table1[[#This Row],[Measurable Impressions]],0)</f>
        <v>0.60191363464685887</v>
      </c>
      <c r="T268" s="10">
        <f>IFERROR(1000*Table1[[#This Row],[Gross Cost]]/Table1[[#This Row],[Viewable Impressions]],0)</f>
        <v>281.39907969044134</v>
      </c>
      <c r="U268" s="10"/>
    </row>
    <row r="269" spans="1:21" x14ac:dyDescent="0.2">
      <c r="A269" t="s">
        <v>665</v>
      </c>
      <c r="B269" t="s">
        <v>14</v>
      </c>
      <c r="C269" t="s">
        <v>41</v>
      </c>
      <c r="D269" t="s">
        <v>34</v>
      </c>
      <c r="E269" t="str">
        <f>TRIM(RIGHT(Table1[[#This Row],[Location]],LEN(Table1[[#This Row],[Location]])-FIND(",",Table1[[#This Row],[Location]])))</f>
        <v>Illinois</v>
      </c>
      <c r="F269" t="s">
        <v>666</v>
      </c>
      <c r="G269" t="s">
        <v>116</v>
      </c>
      <c r="H269" t="s">
        <v>26</v>
      </c>
      <c r="I269">
        <v>15047</v>
      </c>
      <c r="J269">
        <v>84</v>
      </c>
      <c r="K269">
        <v>5653</v>
      </c>
      <c r="L269">
        <v>14459</v>
      </c>
      <c r="M269">
        <v>4</v>
      </c>
      <c r="N269">
        <v>2127.495962</v>
      </c>
      <c r="O269" s="7">
        <f>IFERROR(Table1[[#This Row],[Clicks]]/Table1[[#This Row],[Impressions]],0)</f>
        <v>5.5825081411577061E-3</v>
      </c>
      <c r="P269" s="5">
        <f>IFERROR(Table1[[#This Row],[Total Conversions]]/Table1[[#This Row],[Clicks]],0)</f>
        <v>4.7619047619047616E-2</v>
      </c>
      <c r="Q269" s="10">
        <f>IFERROR(Table1[[#This Row],[Gross Cost]]/Table1[[#This Row],[Total Conversions]],0)</f>
        <v>531.87399049999999</v>
      </c>
      <c r="R269" s="10">
        <f>IFERROR(Table1[[#This Row],[Gross Cost]]/(Table1[[#This Row],[Impressions]]/1000),0)</f>
        <v>141.39004200172792</v>
      </c>
      <c r="S269" s="5">
        <f>IFERROR(Table1[[#This Row],[Viewable Impressions]]/Table1[[#This Row],[Measurable Impressions]],0)</f>
        <v>0.39096756345528738</v>
      </c>
      <c r="T269" s="10">
        <f>IFERROR(1000*Table1[[#This Row],[Gross Cost]]/Table1[[#This Row],[Viewable Impressions]],0)</f>
        <v>376.34812701220585</v>
      </c>
      <c r="U269" s="10"/>
    </row>
    <row r="270" spans="1:21" x14ac:dyDescent="0.2">
      <c r="A270" t="s">
        <v>348</v>
      </c>
      <c r="B270" t="s">
        <v>14</v>
      </c>
      <c r="C270" t="s">
        <v>41</v>
      </c>
      <c r="D270" t="s">
        <v>34</v>
      </c>
      <c r="E270" t="str">
        <f>TRIM(RIGHT(Table1[[#This Row],[Location]],LEN(Table1[[#This Row],[Location]])-FIND(",",Table1[[#This Row],[Location]])))</f>
        <v>Illinois</v>
      </c>
      <c r="F270" t="s">
        <v>349</v>
      </c>
      <c r="G270" t="s">
        <v>35</v>
      </c>
      <c r="H270" t="s">
        <v>19</v>
      </c>
      <c r="I270">
        <v>39314</v>
      </c>
      <c r="J270">
        <v>100</v>
      </c>
      <c r="K270">
        <v>27671</v>
      </c>
      <c r="L270">
        <v>35488</v>
      </c>
      <c r="M270">
        <v>8</v>
      </c>
      <c r="N270">
        <v>5530.8004579999997</v>
      </c>
      <c r="O270" s="7">
        <f>IFERROR(Table1[[#This Row],[Clicks]]/Table1[[#This Row],[Impressions]],0)</f>
        <v>2.5436231367960524E-3</v>
      </c>
      <c r="P270" s="5">
        <f>IFERROR(Table1[[#This Row],[Total Conversions]]/Table1[[#This Row],[Clicks]],0)</f>
        <v>0.08</v>
      </c>
      <c r="Q270" s="10">
        <f>IFERROR(Table1[[#This Row],[Gross Cost]]/Table1[[#This Row],[Total Conversions]],0)</f>
        <v>691.35005724999996</v>
      </c>
      <c r="R270" s="10">
        <f>IFERROR(Table1[[#This Row],[Gross Cost]]/(Table1[[#This Row],[Impressions]]/1000),0)</f>
        <v>140.68272009971002</v>
      </c>
      <c r="S270" s="5">
        <f>IFERROR(Table1[[#This Row],[Viewable Impressions]]/Table1[[#This Row],[Measurable Impressions]],0)</f>
        <v>0.77972835888187553</v>
      </c>
      <c r="T270" s="10">
        <f>IFERROR(1000*Table1[[#This Row],[Gross Cost]]/Table1[[#This Row],[Viewable Impressions]],0)</f>
        <v>199.87714423042172</v>
      </c>
      <c r="U270" s="10"/>
    </row>
    <row r="271" spans="1:21" x14ac:dyDescent="0.2">
      <c r="A271" t="s">
        <v>186</v>
      </c>
      <c r="B271" t="s">
        <v>14</v>
      </c>
      <c r="C271" t="s">
        <v>30</v>
      </c>
      <c r="D271" t="s">
        <v>77</v>
      </c>
      <c r="E271" t="str">
        <f>TRIM(RIGHT(Table1[[#This Row],[Location]],LEN(Table1[[#This Row],[Location]])-FIND(",",Table1[[#This Row],[Location]])))</f>
        <v>New York</v>
      </c>
      <c r="F271" t="s">
        <v>185</v>
      </c>
      <c r="G271" t="s">
        <v>45</v>
      </c>
      <c r="H271" t="s">
        <v>51</v>
      </c>
      <c r="I271">
        <v>45711</v>
      </c>
      <c r="J271">
        <v>130</v>
      </c>
      <c r="K271">
        <v>23052</v>
      </c>
      <c r="L271">
        <v>42375</v>
      </c>
      <c r="M271">
        <v>11</v>
      </c>
      <c r="N271">
        <v>6417.8761690000001</v>
      </c>
      <c r="O271" s="7">
        <f>IFERROR(Table1[[#This Row],[Clicks]]/Table1[[#This Row],[Impressions]],0)</f>
        <v>2.8439544092231628E-3</v>
      </c>
      <c r="P271" s="5">
        <f>IFERROR(Table1[[#This Row],[Total Conversions]]/Table1[[#This Row],[Clicks]],0)</f>
        <v>8.461538461538462E-2</v>
      </c>
      <c r="Q271" s="10">
        <f>IFERROR(Table1[[#This Row],[Gross Cost]]/Table1[[#This Row],[Total Conversions]],0)</f>
        <v>583.44328809090905</v>
      </c>
      <c r="R271" s="10">
        <f>IFERROR(Table1[[#This Row],[Gross Cost]]/(Table1[[#This Row],[Impressions]]/1000),0)</f>
        <v>140.40113252827547</v>
      </c>
      <c r="S271" s="5">
        <f>IFERROR(Table1[[#This Row],[Viewable Impressions]]/Table1[[#This Row],[Measurable Impressions]],0)</f>
        <v>0.54400000000000004</v>
      </c>
      <c r="T271" s="10">
        <f>IFERROR(1000*Table1[[#This Row],[Gross Cost]]/Table1[[#This Row],[Viewable Impressions]],0)</f>
        <v>278.40864866389035</v>
      </c>
      <c r="U271" s="10"/>
    </row>
    <row r="272" spans="1:21" x14ac:dyDescent="0.2">
      <c r="A272" t="s">
        <v>762</v>
      </c>
      <c r="B272" t="s">
        <v>14</v>
      </c>
      <c r="C272" t="s">
        <v>15</v>
      </c>
      <c r="D272" t="s">
        <v>31</v>
      </c>
      <c r="E272" t="str">
        <f>TRIM(RIGHT(Table1[[#This Row],[Location]],LEN(Table1[[#This Row],[Location]])-FIND(",",Table1[[#This Row],[Location]])))</f>
        <v>Michigan</v>
      </c>
      <c r="F272" t="s">
        <v>742</v>
      </c>
      <c r="G272" t="s">
        <v>25</v>
      </c>
      <c r="H272" t="s">
        <v>19</v>
      </c>
      <c r="I272">
        <v>11269</v>
      </c>
      <c r="J272">
        <v>63</v>
      </c>
      <c r="K272">
        <v>4992</v>
      </c>
      <c r="L272">
        <v>10245</v>
      </c>
      <c r="M272">
        <v>3</v>
      </c>
      <c r="N272">
        <v>1576.38921</v>
      </c>
      <c r="O272" s="7">
        <f>IFERROR(Table1[[#This Row],[Clicks]]/Table1[[#This Row],[Impressions]],0)</f>
        <v>5.590558168426657E-3</v>
      </c>
      <c r="P272" s="5">
        <f>IFERROR(Table1[[#This Row],[Total Conversions]]/Table1[[#This Row],[Clicks]],0)</f>
        <v>4.7619047619047616E-2</v>
      </c>
      <c r="Q272" s="10">
        <f>IFERROR(Table1[[#This Row],[Gross Cost]]/Table1[[#This Row],[Total Conversions]],0)</f>
        <v>525.46307000000002</v>
      </c>
      <c r="R272" s="10">
        <f>IFERROR(Table1[[#This Row],[Gross Cost]]/(Table1[[#This Row],[Impressions]]/1000),0)</f>
        <v>139.88723134262136</v>
      </c>
      <c r="S272" s="5">
        <f>IFERROR(Table1[[#This Row],[Viewable Impressions]]/Table1[[#This Row],[Measurable Impressions]],0)</f>
        <v>0.48726207906295754</v>
      </c>
      <c r="T272" s="10">
        <f>IFERROR(1000*Table1[[#This Row],[Gross Cost]]/Table1[[#This Row],[Viewable Impressions]],0)</f>
        <v>315.78309495192309</v>
      </c>
      <c r="U272" s="10"/>
    </row>
    <row r="273" spans="1:21" x14ac:dyDescent="0.2">
      <c r="A273" t="s">
        <v>975</v>
      </c>
      <c r="B273" t="s">
        <v>14</v>
      </c>
      <c r="C273" t="s">
        <v>22</v>
      </c>
      <c r="D273" t="s">
        <v>77</v>
      </c>
      <c r="E273" t="str">
        <f>TRIM(RIGHT(Table1[[#This Row],[Location]],LEN(Table1[[#This Row],[Location]])-FIND(",",Table1[[#This Row],[Location]])))</f>
        <v>New York</v>
      </c>
      <c r="F273" t="s">
        <v>976</v>
      </c>
      <c r="G273" t="s">
        <v>45</v>
      </c>
      <c r="H273" t="s">
        <v>26</v>
      </c>
      <c r="I273">
        <v>14693</v>
      </c>
      <c r="J273">
        <v>70</v>
      </c>
      <c r="K273">
        <v>6597</v>
      </c>
      <c r="L273">
        <v>13508</v>
      </c>
      <c r="M273">
        <v>4</v>
      </c>
      <c r="N273">
        <v>2047.3489239999999</v>
      </c>
      <c r="O273" s="7">
        <f>IFERROR(Table1[[#This Row],[Clicks]]/Table1[[#This Row],[Impressions]],0)</f>
        <v>4.7641734159123393E-3</v>
      </c>
      <c r="P273" s="5">
        <f>IFERROR(Table1[[#This Row],[Total Conversions]]/Table1[[#This Row],[Clicks]],0)</f>
        <v>5.7142857142857141E-2</v>
      </c>
      <c r="Q273" s="10">
        <f>IFERROR(Table1[[#This Row],[Gross Cost]]/Table1[[#This Row],[Total Conversions]],0)</f>
        <v>511.83723099999997</v>
      </c>
      <c r="R273" s="10">
        <f>IFERROR(Table1[[#This Row],[Gross Cost]]/(Table1[[#This Row],[Impressions]]/1000),0)</f>
        <v>139.34179024025045</v>
      </c>
      <c r="S273" s="5">
        <f>IFERROR(Table1[[#This Row],[Viewable Impressions]]/Table1[[#This Row],[Measurable Impressions]],0)</f>
        <v>0.48837725792123188</v>
      </c>
      <c r="T273" s="10">
        <f>IFERROR(1000*Table1[[#This Row],[Gross Cost]]/Table1[[#This Row],[Viewable Impressions]],0)</f>
        <v>310.34544853721388</v>
      </c>
      <c r="U273" s="10"/>
    </row>
    <row r="274" spans="1:21" x14ac:dyDescent="0.2">
      <c r="A274" t="s">
        <v>198</v>
      </c>
      <c r="B274" t="s">
        <v>14</v>
      </c>
      <c r="C274" t="s">
        <v>15</v>
      </c>
      <c r="D274" t="s">
        <v>16</v>
      </c>
      <c r="E274" t="str">
        <f>TRIM(RIGHT(Table1[[#This Row],[Location]],LEN(Table1[[#This Row],[Location]])-FIND(",",Table1[[#This Row],[Location]])))</f>
        <v>California</v>
      </c>
      <c r="F274" t="s">
        <v>196</v>
      </c>
      <c r="G274" t="s">
        <v>18</v>
      </c>
      <c r="H274" t="s">
        <v>51</v>
      </c>
      <c r="I274">
        <v>48211</v>
      </c>
      <c r="J274">
        <v>160</v>
      </c>
      <c r="K274">
        <v>30157</v>
      </c>
      <c r="L274">
        <v>43810</v>
      </c>
      <c r="M274">
        <v>14</v>
      </c>
      <c r="N274">
        <v>6708.4633510000003</v>
      </c>
      <c r="O274" s="7">
        <f>IFERROR(Table1[[#This Row],[Clicks]]/Table1[[#This Row],[Impressions]],0)</f>
        <v>3.3187446848229659E-3</v>
      </c>
      <c r="P274" s="5">
        <f>IFERROR(Table1[[#This Row],[Total Conversions]]/Table1[[#This Row],[Clicks]],0)</f>
        <v>8.7499999999999994E-2</v>
      </c>
      <c r="Q274" s="10">
        <f>IFERROR(Table1[[#This Row],[Gross Cost]]/Table1[[#This Row],[Total Conversions]],0)</f>
        <v>479.17595364285717</v>
      </c>
      <c r="R274" s="10">
        <f>IFERROR(Table1[[#This Row],[Gross Cost]]/(Table1[[#This Row],[Impressions]]/1000),0)</f>
        <v>139.1479818091307</v>
      </c>
      <c r="S274" s="5">
        <f>IFERROR(Table1[[#This Row],[Viewable Impressions]]/Table1[[#This Row],[Measurable Impressions]],0)</f>
        <v>0.6883588221867154</v>
      </c>
      <c r="T274" s="10">
        <f>IFERROR(1000*Table1[[#This Row],[Gross Cost]]/Table1[[#This Row],[Viewable Impressions]],0)</f>
        <v>222.45128331730612</v>
      </c>
      <c r="U274" s="10"/>
    </row>
    <row r="275" spans="1:21" x14ac:dyDescent="0.2">
      <c r="A275" t="s">
        <v>412</v>
      </c>
      <c r="B275" t="s">
        <v>21</v>
      </c>
      <c r="C275" t="s">
        <v>22</v>
      </c>
      <c r="D275" t="s">
        <v>44</v>
      </c>
      <c r="E275" t="str">
        <f>TRIM(RIGHT(Table1[[#This Row],[Location]],LEN(Table1[[#This Row],[Location]])-FIND(",",Table1[[#This Row],[Location]])))</f>
        <v>Florida</v>
      </c>
      <c r="F275" t="s">
        <v>409</v>
      </c>
      <c r="G275" t="s">
        <v>45</v>
      </c>
      <c r="H275" t="s">
        <v>26</v>
      </c>
      <c r="I275">
        <v>38408</v>
      </c>
      <c r="J275">
        <v>101</v>
      </c>
      <c r="K275">
        <v>23557</v>
      </c>
      <c r="L275">
        <v>35247</v>
      </c>
      <c r="M275">
        <v>7</v>
      </c>
      <c r="N275">
        <v>5343.4594310000002</v>
      </c>
      <c r="O275" s="7">
        <f>IFERROR(Table1[[#This Row],[Clicks]]/Table1[[#This Row],[Impressions]],0)</f>
        <v>2.6296604873984586E-3</v>
      </c>
      <c r="P275" s="5">
        <f>IFERROR(Table1[[#This Row],[Total Conversions]]/Table1[[#This Row],[Clicks]],0)</f>
        <v>6.9306930693069313E-2</v>
      </c>
      <c r="Q275" s="10">
        <f>IFERROR(Table1[[#This Row],[Gross Cost]]/Table1[[#This Row],[Total Conversions]],0)</f>
        <v>763.35134728571427</v>
      </c>
      <c r="R275" s="10">
        <f>IFERROR(Table1[[#This Row],[Gross Cost]]/(Table1[[#This Row],[Impressions]]/1000),0)</f>
        <v>139.12360526452824</v>
      </c>
      <c r="S275" s="5">
        <f>IFERROR(Table1[[#This Row],[Viewable Impressions]]/Table1[[#This Row],[Measurable Impressions]],0)</f>
        <v>0.66834056799160213</v>
      </c>
      <c r="T275" s="10">
        <f>IFERROR(1000*Table1[[#This Row],[Gross Cost]]/Table1[[#This Row],[Viewable Impressions]],0)</f>
        <v>226.83106639215518</v>
      </c>
      <c r="U275" s="10"/>
    </row>
    <row r="276" spans="1:21" x14ac:dyDescent="0.2">
      <c r="A276" t="s">
        <v>764</v>
      </c>
      <c r="B276" t="s">
        <v>60</v>
      </c>
      <c r="C276" t="s">
        <v>41</v>
      </c>
      <c r="D276" t="s">
        <v>28</v>
      </c>
      <c r="E276" t="str">
        <f>TRIM(RIGHT(Table1[[#This Row],[Location]],LEN(Table1[[#This Row],[Location]])-FIND(",",Table1[[#This Row],[Location]])))</f>
        <v>California</v>
      </c>
      <c r="F276" t="s">
        <v>742</v>
      </c>
      <c r="G276" t="s">
        <v>45</v>
      </c>
      <c r="H276" t="s">
        <v>26</v>
      </c>
      <c r="I276">
        <v>10819</v>
      </c>
      <c r="J276">
        <v>20</v>
      </c>
      <c r="K276">
        <v>4168</v>
      </c>
      <c r="L276">
        <v>9768</v>
      </c>
      <c r="M276">
        <v>2</v>
      </c>
      <c r="N276">
        <v>1504.3292140000001</v>
      </c>
      <c r="O276" s="7">
        <f>IFERROR(Table1[[#This Row],[Clicks]]/Table1[[#This Row],[Impressions]],0)</f>
        <v>1.8485996857380534E-3</v>
      </c>
      <c r="P276" s="5">
        <f>IFERROR(Table1[[#This Row],[Total Conversions]]/Table1[[#This Row],[Clicks]],0)</f>
        <v>0.1</v>
      </c>
      <c r="Q276" s="10">
        <f>IFERROR(Table1[[#This Row],[Gross Cost]]/Table1[[#This Row],[Total Conversions]],0)</f>
        <v>752.16460700000005</v>
      </c>
      <c r="R276" s="10">
        <f>IFERROR(Table1[[#This Row],[Gross Cost]]/(Table1[[#This Row],[Impressions]]/1000),0)</f>
        <v>139.04512561234864</v>
      </c>
      <c r="S276" s="5">
        <f>IFERROR(Table1[[#This Row],[Viewable Impressions]]/Table1[[#This Row],[Measurable Impressions]],0)</f>
        <v>0.42669942669942668</v>
      </c>
      <c r="T276" s="10">
        <f>IFERROR(1000*Table1[[#This Row],[Gross Cost]]/Table1[[#This Row],[Viewable Impressions]],0)</f>
        <v>360.92351583493286</v>
      </c>
      <c r="U276" s="10"/>
    </row>
    <row r="277" spans="1:21" x14ac:dyDescent="0.2">
      <c r="A277" t="s">
        <v>235</v>
      </c>
      <c r="B277" t="s">
        <v>21</v>
      </c>
      <c r="C277" t="s">
        <v>15</v>
      </c>
      <c r="D277" t="s">
        <v>77</v>
      </c>
      <c r="E277" t="str">
        <f>TRIM(RIGHT(Table1[[#This Row],[Location]],LEN(Table1[[#This Row],[Location]])-FIND(",",Table1[[#This Row],[Location]])))</f>
        <v>New York</v>
      </c>
      <c r="F277" t="s">
        <v>234</v>
      </c>
      <c r="G277" t="s">
        <v>116</v>
      </c>
      <c r="H277" t="s">
        <v>26</v>
      </c>
      <c r="I277">
        <v>10677</v>
      </c>
      <c r="J277">
        <v>88</v>
      </c>
      <c r="K277">
        <v>7247</v>
      </c>
      <c r="L277">
        <v>10338</v>
      </c>
      <c r="M277">
        <v>3</v>
      </c>
      <c r="N277">
        <v>1483.452706</v>
      </c>
      <c r="O277" s="7">
        <f>IFERROR(Table1[[#This Row],[Clicks]]/Table1[[#This Row],[Impressions]],0)</f>
        <v>8.2420155474384194E-3</v>
      </c>
      <c r="P277" s="5">
        <f>IFERROR(Table1[[#This Row],[Total Conversions]]/Table1[[#This Row],[Clicks]],0)</f>
        <v>3.4090909090909088E-2</v>
      </c>
      <c r="Q277" s="10">
        <f>IFERROR(Table1[[#This Row],[Gross Cost]]/Table1[[#This Row],[Total Conversions]],0)</f>
        <v>494.48423533333334</v>
      </c>
      <c r="R277" s="10">
        <f>IFERROR(Table1[[#This Row],[Gross Cost]]/(Table1[[#This Row],[Impressions]]/1000),0)</f>
        <v>138.93909394024539</v>
      </c>
      <c r="S277" s="5">
        <f>IFERROR(Table1[[#This Row],[Viewable Impressions]]/Table1[[#This Row],[Measurable Impressions]],0)</f>
        <v>0.70100599729154578</v>
      </c>
      <c r="T277" s="10">
        <f>IFERROR(1000*Table1[[#This Row],[Gross Cost]]/Table1[[#This Row],[Viewable Impressions]],0)</f>
        <v>204.69886932523804</v>
      </c>
      <c r="U277" s="10"/>
    </row>
    <row r="278" spans="1:21" x14ac:dyDescent="0.2">
      <c r="A278" t="s">
        <v>138</v>
      </c>
      <c r="B278" t="s">
        <v>21</v>
      </c>
      <c r="C278" t="s">
        <v>15</v>
      </c>
      <c r="D278" t="s">
        <v>54</v>
      </c>
      <c r="E278" t="str">
        <f>TRIM(RIGHT(Table1[[#This Row],[Location]],LEN(Table1[[#This Row],[Location]])-FIND(",",Table1[[#This Row],[Location]])))</f>
        <v>Florida</v>
      </c>
      <c r="F278" t="s">
        <v>139</v>
      </c>
      <c r="G278" t="s">
        <v>18</v>
      </c>
      <c r="H278" t="s">
        <v>26</v>
      </c>
      <c r="I278">
        <v>11325</v>
      </c>
      <c r="J278">
        <v>88</v>
      </c>
      <c r="K278">
        <v>6186</v>
      </c>
      <c r="L278">
        <v>10612</v>
      </c>
      <c r="M278">
        <v>2</v>
      </c>
      <c r="N278">
        <v>1573.2540899999999</v>
      </c>
      <c r="O278" s="7">
        <f>IFERROR(Table1[[#This Row],[Clicks]]/Table1[[#This Row],[Impressions]],0)</f>
        <v>7.7704194260485651E-3</v>
      </c>
      <c r="P278" s="5">
        <f>IFERROR(Table1[[#This Row],[Total Conversions]]/Table1[[#This Row],[Clicks]],0)</f>
        <v>2.2727272727272728E-2</v>
      </c>
      <c r="Q278" s="10">
        <f>IFERROR(Table1[[#This Row],[Gross Cost]]/Table1[[#This Row],[Total Conversions]],0)</f>
        <v>786.62704499999995</v>
      </c>
      <c r="R278" s="10">
        <f>IFERROR(Table1[[#This Row],[Gross Cost]]/(Table1[[#This Row],[Impressions]]/1000),0)</f>
        <v>138.9186834437086</v>
      </c>
      <c r="S278" s="5">
        <f>IFERROR(Table1[[#This Row],[Viewable Impressions]]/Table1[[#This Row],[Measurable Impressions]],0)</f>
        <v>0.58292499057670566</v>
      </c>
      <c r="T278" s="10">
        <f>IFERROR(1000*Table1[[#This Row],[Gross Cost]]/Table1[[#This Row],[Viewable Impressions]],0)</f>
        <v>254.32494180407369</v>
      </c>
      <c r="U278" s="10"/>
    </row>
    <row r="279" spans="1:21" x14ac:dyDescent="0.2">
      <c r="A279" t="s">
        <v>696</v>
      </c>
      <c r="B279" t="s">
        <v>14</v>
      </c>
      <c r="C279" t="s">
        <v>15</v>
      </c>
      <c r="D279" t="s">
        <v>31</v>
      </c>
      <c r="E279" t="str">
        <f>TRIM(RIGHT(Table1[[#This Row],[Location]],LEN(Table1[[#This Row],[Location]])-FIND(",",Table1[[#This Row],[Location]])))</f>
        <v>Michigan</v>
      </c>
      <c r="F279" t="s">
        <v>695</v>
      </c>
      <c r="G279" t="s">
        <v>18</v>
      </c>
      <c r="H279" t="s">
        <v>26</v>
      </c>
      <c r="I279">
        <v>11214</v>
      </c>
      <c r="J279">
        <v>49</v>
      </c>
      <c r="K279">
        <v>5523</v>
      </c>
      <c r="L279">
        <v>10267</v>
      </c>
      <c r="M279">
        <v>2</v>
      </c>
      <c r="N279">
        <v>1554.3892149999999</v>
      </c>
      <c r="O279" s="7">
        <f>IFERROR(Table1[[#This Row],[Clicks]]/Table1[[#This Row],[Impressions]],0)</f>
        <v>4.3695380774032462E-3</v>
      </c>
      <c r="P279" s="5">
        <f>IFERROR(Table1[[#This Row],[Total Conversions]]/Table1[[#This Row],[Clicks]],0)</f>
        <v>4.0816326530612242E-2</v>
      </c>
      <c r="Q279" s="10">
        <f>IFERROR(Table1[[#This Row],[Gross Cost]]/Table1[[#This Row],[Total Conversions]],0)</f>
        <v>777.19460749999996</v>
      </c>
      <c r="R279" s="10">
        <f>IFERROR(Table1[[#This Row],[Gross Cost]]/(Table1[[#This Row],[Impressions]]/1000),0)</f>
        <v>138.61148698055999</v>
      </c>
      <c r="S279" s="5">
        <f>IFERROR(Table1[[#This Row],[Viewable Impressions]]/Table1[[#This Row],[Measurable Impressions]],0)</f>
        <v>0.53793707996493623</v>
      </c>
      <c r="T279" s="10">
        <f>IFERROR(1000*Table1[[#This Row],[Gross Cost]]/Table1[[#This Row],[Viewable Impressions]],0)</f>
        <v>281.43929295672638</v>
      </c>
      <c r="U279" s="10"/>
    </row>
    <row r="280" spans="1:21" x14ac:dyDescent="0.2">
      <c r="A280" t="s">
        <v>406</v>
      </c>
      <c r="B280" t="s">
        <v>14</v>
      </c>
      <c r="C280" t="s">
        <v>41</v>
      </c>
      <c r="D280" t="s">
        <v>38</v>
      </c>
      <c r="E280" t="str">
        <f>TRIM(RIGHT(Table1[[#This Row],[Location]],LEN(Table1[[#This Row],[Location]])-FIND(",",Table1[[#This Row],[Location]])))</f>
        <v>Tennessee</v>
      </c>
      <c r="F280" t="s">
        <v>407</v>
      </c>
      <c r="G280" t="s">
        <v>18</v>
      </c>
      <c r="H280" t="s">
        <v>19</v>
      </c>
      <c r="I280">
        <v>12436</v>
      </c>
      <c r="J280">
        <v>84</v>
      </c>
      <c r="K280">
        <v>7055</v>
      </c>
      <c r="L280">
        <v>11497</v>
      </c>
      <c r="M280">
        <v>9</v>
      </c>
      <c r="N280">
        <v>1720.870126</v>
      </c>
      <c r="O280" s="7">
        <f>IFERROR(Table1[[#This Row],[Clicks]]/Table1[[#This Row],[Impressions]],0)</f>
        <v>6.7545834673528463E-3</v>
      </c>
      <c r="P280" s="5">
        <f>IFERROR(Table1[[#This Row],[Total Conversions]]/Table1[[#This Row],[Clicks]],0)</f>
        <v>0.10714285714285714</v>
      </c>
      <c r="Q280" s="10">
        <f>IFERROR(Table1[[#This Row],[Gross Cost]]/Table1[[#This Row],[Total Conversions]],0)</f>
        <v>191.20779177777777</v>
      </c>
      <c r="R280" s="10">
        <f>IFERROR(Table1[[#This Row],[Gross Cost]]/(Table1[[#This Row],[Impressions]]/1000),0)</f>
        <v>138.37810598263107</v>
      </c>
      <c r="S280" s="5">
        <f>IFERROR(Table1[[#This Row],[Viewable Impressions]]/Table1[[#This Row],[Measurable Impressions]],0)</f>
        <v>0.61363834043663568</v>
      </c>
      <c r="T280" s="10">
        <f>IFERROR(1000*Table1[[#This Row],[Gross Cost]]/Table1[[#This Row],[Viewable Impressions]],0)</f>
        <v>243.92205896527284</v>
      </c>
      <c r="U280" s="10"/>
    </row>
    <row r="281" spans="1:21" x14ac:dyDescent="0.2">
      <c r="A281" t="s">
        <v>437</v>
      </c>
      <c r="B281" t="s">
        <v>14</v>
      </c>
      <c r="C281" t="s">
        <v>41</v>
      </c>
      <c r="D281" t="s">
        <v>16</v>
      </c>
      <c r="E281" t="str">
        <f>TRIM(RIGHT(Table1[[#This Row],[Location]],LEN(Table1[[#This Row],[Location]])-FIND(",",Table1[[#This Row],[Location]])))</f>
        <v>California</v>
      </c>
      <c r="F281" t="s">
        <v>438</v>
      </c>
      <c r="G281" t="s">
        <v>45</v>
      </c>
      <c r="H281" t="s">
        <v>19</v>
      </c>
      <c r="I281">
        <v>12001</v>
      </c>
      <c r="J281">
        <v>40</v>
      </c>
      <c r="K281">
        <v>7173</v>
      </c>
      <c r="L281">
        <v>11432</v>
      </c>
      <c r="M281">
        <v>2</v>
      </c>
      <c r="N281">
        <v>1659.9327129999999</v>
      </c>
      <c r="O281" s="7">
        <f>IFERROR(Table1[[#This Row],[Clicks]]/Table1[[#This Row],[Impressions]],0)</f>
        <v>3.333055578701775E-3</v>
      </c>
      <c r="P281" s="5">
        <f>IFERROR(Table1[[#This Row],[Total Conversions]]/Table1[[#This Row],[Clicks]],0)</f>
        <v>0.05</v>
      </c>
      <c r="Q281" s="10">
        <f>IFERROR(Table1[[#This Row],[Gross Cost]]/Table1[[#This Row],[Total Conversions]],0)</f>
        <v>829.96635649999996</v>
      </c>
      <c r="R281" s="10">
        <f>IFERROR(Table1[[#This Row],[Gross Cost]]/(Table1[[#This Row],[Impressions]]/1000),0)</f>
        <v>138.31619973335555</v>
      </c>
      <c r="S281" s="5">
        <f>IFERROR(Table1[[#This Row],[Viewable Impressions]]/Table1[[#This Row],[Measurable Impressions]],0)</f>
        <v>0.62744926522043387</v>
      </c>
      <c r="T281" s="10">
        <f>IFERROR(1000*Table1[[#This Row],[Gross Cost]]/Table1[[#This Row],[Viewable Impressions]],0)</f>
        <v>231.41401268646311</v>
      </c>
      <c r="U281" s="10"/>
    </row>
    <row r="282" spans="1:21" x14ac:dyDescent="0.2">
      <c r="A282" t="s">
        <v>150</v>
      </c>
      <c r="B282" t="s">
        <v>14</v>
      </c>
      <c r="C282" t="s">
        <v>15</v>
      </c>
      <c r="D282" t="s">
        <v>34</v>
      </c>
      <c r="E282" t="str">
        <f>TRIM(RIGHT(Table1[[#This Row],[Location]],LEN(Table1[[#This Row],[Location]])-FIND(",",Table1[[#This Row],[Location]])))</f>
        <v>Illinois</v>
      </c>
      <c r="F282" t="s">
        <v>144</v>
      </c>
      <c r="G282" t="s">
        <v>18</v>
      </c>
      <c r="H282" t="s">
        <v>26</v>
      </c>
      <c r="I282">
        <v>13132</v>
      </c>
      <c r="J282">
        <v>67</v>
      </c>
      <c r="K282">
        <v>6133</v>
      </c>
      <c r="L282">
        <v>12377</v>
      </c>
      <c r="M282">
        <v>4</v>
      </c>
      <c r="N282">
        <v>1807.6931420000001</v>
      </c>
      <c r="O282" s="7">
        <f>IFERROR(Table1[[#This Row],[Clicks]]/Table1[[#This Row],[Impressions]],0)</f>
        <v>5.1020408163265302E-3</v>
      </c>
      <c r="P282" s="5">
        <f>IFERROR(Table1[[#This Row],[Total Conversions]]/Table1[[#This Row],[Clicks]],0)</f>
        <v>5.9701492537313432E-2</v>
      </c>
      <c r="Q282" s="10">
        <f>IFERROR(Table1[[#This Row],[Gross Cost]]/Table1[[#This Row],[Total Conversions]],0)</f>
        <v>451.92328550000002</v>
      </c>
      <c r="R282" s="10">
        <f>IFERROR(Table1[[#This Row],[Gross Cost]]/(Table1[[#This Row],[Impressions]]/1000),0)</f>
        <v>137.65558498324705</v>
      </c>
      <c r="S282" s="5">
        <f>IFERROR(Table1[[#This Row],[Viewable Impressions]]/Table1[[#This Row],[Measurable Impressions]],0)</f>
        <v>0.4955158762220247</v>
      </c>
      <c r="T282" s="10">
        <f>IFERROR(1000*Table1[[#This Row],[Gross Cost]]/Table1[[#This Row],[Viewable Impressions]],0)</f>
        <v>294.74859644545899</v>
      </c>
      <c r="U282" s="10"/>
    </row>
    <row r="283" spans="1:21" x14ac:dyDescent="0.2">
      <c r="A283" t="s">
        <v>817</v>
      </c>
      <c r="B283" t="s">
        <v>21</v>
      </c>
      <c r="C283" t="s">
        <v>41</v>
      </c>
      <c r="D283" t="s">
        <v>28</v>
      </c>
      <c r="E283" t="str">
        <f>TRIM(RIGHT(Table1[[#This Row],[Location]],LEN(Table1[[#This Row],[Location]])-FIND(",",Table1[[#This Row],[Location]])))</f>
        <v>California</v>
      </c>
      <c r="F283" t="s">
        <v>818</v>
      </c>
      <c r="G283" t="s">
        <v>116</v>
      </c>
      <c r="H283" t="s">
        <v>26</v>
      </c>
      <c r="I283">
        <v>47360</v>
      </c>
      <c r="J283">
        <v>126</v>
      </c>
      <c r="K283">
        <v>8047</v>
      </c>
      <c r="L283">
        <v>33641</v>
      </c>
      <c r="M283">
        <v>9</v>
      </c>
      <c r="N283">
        <v>6502.2749329999997</v>
      </c>
      <c r="O283" s="7">
        <f>IFERROR(Table1[[#This Row],[Clicks]]/Table1[[#This Row],[Impressions]],0)</f>
        <v>2.6604729729729731E-3</v>
      </c>
      <c r="P283" s="5">
        <f>IFERROR(Table1[[#This Row],[Total Conversions]]/Table1[[#This Row],[Clicks]],0)</f>
        <v>7.1428571428571425E-2</v>
      </c>
      <c r="Q283" s="10">
        <f>IFERROR(Table1[[#This Row],[Gross Cost]]/Table1[[#This Row],[Total Conversions]],0)</f>
        <v>722.47499255555556</v>
      </c>
      <c r="R283" s="10">
        <f>IFERROR(Table1[[#This Row],[Gross Cost]]/(Table1[[#This Row],[Impressions]]/1000),0)</f>
        <v>137.29465652449323</v>
      </c>
      <c r="S283" s="5">
        <f>IFERROR(Table1[[#This Row],[Viewable Impressions]]/Table1[[#This Row],[Measurable Impressions]],0)</f>
        <v>0.23920216402603967</v>
      </c>
      <c r="T283" s="10">
        <f>IFERROR(1000*Table1[[#This Row],[Gross Cost]]/Table1[[#This Row],[Viewable Impressions]],0)</f>
        <v>808.03714837827749</v>
      </c>
      <c r="U283" s="10"/>
    </row>
    <row r="284" spans="1:21" x14ac:dyDescent="0.2">
      <c r="A284" t="s">
        <v>452</v>
      </c>
      <c r="B284" t="s">
        <v>21</v>
      </c>
      <c r="C284" t="s">
        <v>22</v>
      </c>
      <c r="D284" t="s">
        <v>54</v>
      </c>
      <c r="E284" t="str">
        <f>TRIM(RIGHT(Table1[[#This Row],[Location]],LEN(Table1[[#This Row],[Location]])-FIND(",",Table1[[#This Row],[Location]])))</f>
        <v>Florida</v>
      </c>
      <c r="F284" t="s">
        <v>453</v>
      </c>
      <c r="G284" t="s">
        <v>45</v>
      </c>
      <c r="H284" t="s">
        <v>26</v>
      </c>
      <c r="I284">
        <v>14379</v>
      </c>
      <c r="J284">
        <v>30</v>
      </c>
      <c r="K284">
        <v>6272</v>
      </c>
      <c r="L284">
        <v>11886</v>
      </c>
      <c r="M284">
        <v>18</v>
      </c>
      <c r="N284">
        <v>1973.5622330000001</v>
      </c>
      <c r="O284" s="7">
        <f>IFERROR(Table1[[#This Row],[Clicks]]/Table1[[#This Row],[Impressions]],0)</f>
        <v>2.0863759649488839E-3</v>
      </c>
      <c r="P284" s="5">
        <f>IFERROR(Table1[[#This Row],[Total Conversions]]/Table1[[#This Row],[Clicks]],0)</f>
        <v>0.6</v>
      </c>
      <c r="Q284" s="10">
        <f>IFERROR(Table1[[#This Row],[Gross Cost]]/Table1[[#This Row],[Total Conversions]],0)</f>
        <v>109.64234627777779</v>
      </c>
      <c r="R284" s="10">
        <f>IFERROR(Table1[[#This Row],[Gross Cost]]/(Table1[[#This Row],[Impressions]]/1000),0)</f>
        <v>137.25309360873499</v>
      </c>
      <c r="S284" s="5">
        <f>IFERROR(Table1[[#This Row],[Viewable Impressions]]/Table1[[#This Row],[Measurable Impressions]],0)</f>
        <v>0.52767962308598348</v>
      </c>
      <c r="T284" s="10">
        <f>IFERROR(1000*Table1[[#This Row],[Gross Cost]]/Table1[[#This Row],[Viewable Impressions]],0)</f>
        <v>314.66234582270408</v>
      </c>
      <c r="U284" s="10"/>
    </row>
    <row r="285" spans="1:21" x14ac:dyDescent="0.2">
      <c r="A285" t="s">
        <v>970</v>
      </c>
      <c r="B285" t="s">
        <v>14</v>
      </c>
      <c r="C285" t="s">
        <v>41</v>
      </c>
      <c r="D285" t="s">
        <v>38</v>
      </c>
      <c r="E285" t="str">
        <f>TRIM(RIGHT(Table1[[#This Row],[Location]],LEN(Table1[[#This Row],[Location]])-FIND(",",Table1[[#This Row],[Location]])))</f>
        <v>Tennessee</v>
      </c>
      <c r="F285" t="s">
        <v>968</v>
      </c>
      <c r="G285" t="s">
        <v>18</v>
      </c>
      <c r="H285" t="s">
        <v>51</v>
      </c>
      <c r="I285">
        <v>16142</v>
      </c>
      <c r="J285">
        <v>30</v>
      </c>
      <c r="K285">
        <v>7064</v>
      </c>
      <c r="L285">
        <v>15433</v>
      </c>
      <c r="M285">
        <v>5</v>
      </c>
      <c r="N285">
        <v>2209.6509569999998</v>
      </c>
      <c r="O285" s="7">
        <f>IFERROR(Table1[[#This Row],[Clicks]]/Table1[[#This Row],[Impressions]],0)</f>
        <v>1.8585057613678603E-3</v>
      </c>
      <c r="P285" s="5">
        <f>IFERROR(Table1[[#This Row],[Total Conversions]]/Table1[[#This Row],[Clicks]],0)</f>
        <v>0.16666666666666666</v>
      </c>
      <c r="Q285" s="10">
        <f>IFERROR(Table1[[#This Row],[Gross Cost]]/Table1[[#This Row],[Total Conversions]],0)</f>
        <v>441.93019139999996</v>
      </c>
      <c r="R285" s="10">
        <f>IFERROR(Table1[[#This Row],[Gross Cost]]/(Table1[[#This Row],[Impressions]]/1000),0)</f>
        <v>136.88830113988354</v>
      </c>
      <c r="S285" s="5">
        <f>IFERROR(Table1[[#This Row],[Viewable Impressions]]/Table1[[#This Row],[Measurable Impressions]],0)</f>
        <v>0.45772046912460312</v>
      </c>
      <c r="T285" s="10">
        <f>IFERROR(1000*Table1[[#This Row],[Gross Cost]]/Table1[[#This Row],[Viewable Impressions]],0)</f>
        <v>312.80449561155154</v>
      </c>
      <c r="U285" s="10"/>
    </row>
    <row r="286" spans="1:21" x14ac:dyDescent="0.2">
      <c r="A286" t="s">
        <v>93</v>
      </c>
      <c r="B286" t="s">
        <v>14</v>
      </c>
      <c r="C286" t="s">
        <v>41</v>
      </c>
      <c r="D286" t="s">
        <v>94</v>
      </c>
      <c r="E286" t="str">
        <f>TRIM(RIGHT(Table1[[#This Row],[Location]],LEN(Table1[[#This Row],[Location]])-FIND(",",Table1[[#This Row],[Location]])))</f>
        <v>Florida</v>
      </c>
      <c r="F286" t="s">
        <v>92</v>
      </c>
      <c r="G286" t="s">
        <v>45</v>
      </c>
      <c r="H286" t="s">
        <v>26</v>
      </c>
      <c r="I286">
        <v>43057</v>
      </c>
      <c r="J286">
        <v>122</v>
      </c>
      <c r="K286">
        <v>23767</v>
      </c>
      <c r="L286">
        <v>41484</v>
      </c>
      <c r="M286">
        <v>7</v>
      </c>
      <c r="N286">
        <v>5884.9313940000002</v>
      </c>
      <c r="O286" s="7">
        <f>IFERROR(Table1[[#This Row],[Clicks]]/Table1[[#This Row],[Impressions]],0)</f>
        <v>2.833453329307662E-3</v>
      </c>
      <c r="P286" s="5">
        <f>IFERROR(Table1[[#This Row],[Total Conversions]]/Table1[[#This Row],[Clicks]],0)</f>
        <v>5.737704918032787E-2</v>
      </c>
      <c r="Q286" s="10">
        <f>IFERROR(Table1[[#This Row],[Gross Cost]]/Table1[[#This Row],[Total Conversions]],0)</f>
        <v>840.70448485714292</v>
      </c>
      <c r="R286" s="10">
        <f>IFERROR(Table1[[#This Row],[Gross Cost]]/(Table1[[#This Row],[Impressions]]/1000),0)</f>
        <v>136.67769222193837</v>
      </c>
      <c r="S286" s="5">
        <f>IFERROR(Table1[[#This Row],[Viewable Impressions]]/Table1[[#This Row],[Measurable Impressions]],0)</f>
        <v>0.57291967987657888</v>
      </c>
      <c r="T286" s="10">
        <f>IFERROR(1000*Table1[[#This Row],[Gross Cost]]/Table1[[#This Row],[Viewable Impressions]],0)</f>
        <v>247.60934884503726</v>
      </c>
      <c r="U286" s="10"/>
    </row>
    <row r="287" spans="1:21" x14ac:dyDescent="0.2">
      <c r="A287" t="s">
        <v>725</v>
      </c>
      <c r="B287" t="s">
        <v>14</v>
      </c>
      <c r="C287" t="s">
        <v>15</v>
      </c>
      <c r="D287" t="s">
        <v>355</v>
      </c>
      <c r="E287" t="str">
        <f>TRIM(RIGHT(Table1[[#This Row],[Location]],LEN(Table1[[#This Row],[Location]])-FIND(",",Table1[[#This Row],[Location]])))</f>
        <v>Illinois</v>
      </c>
      <c r="F287" t="s">
        <v>722</v>
      </c>
      <c r="G287" t="s">
        <v>18</v>
      </c>
      <c r="H287" t="s">
        <v>26</v>
      </c>
      <c r="I287">
        <v>17620</v>
      </c>
      <c r="J287">
        <v>52</v>
      </c>
      <c r="K287">
        <v>11197</v>
      </c>
      <c r="L287">
        <v>16687</v>
      </c>
      <c r="M287">
        <v>9</v>
      </c>
      <c r="N287">
        <v>2407.7943249999998</v>
      </c>
      <c r="O287" s="7">
        <f>IFERROR(Table1[[#This Row],[Clicks]]/Table1[[#This Row],[Impressions]],0)</f>
        <v>2.9511918274687855E-3</v>
      </c>
      <c r="P287" s="5">
        <f>IFERROR(Table1[[#This Row],[Total Conversions]]/Table1[[#This Row],[Clicks]],0)</f>
        <v>0.17307692307692307</v>
      </c>
      <c r="Q287" s="10">
        <f>IFERROR(Table1[[#This Row],[Gross Cost]]/Table1[[#This Row],[Total Conversions]],0)</f>
        <v>267.53270277777779</v>
      </c>
      <c r="R287" s="10">
        <f>IFERROR(Table1[[#This Row],[Gross Cost]]/(Table1[[#This Row],[Impressions]]/1000),0)</f>
        <v>136.6512102724177</v>
      </c>
      <c r="S287" s="5">
        <f>IFERROR(Table1[[#This Row],[Viewable Impressions]]/Table1[[#This Row],[Measurable Impressions]],0)</f>
        <v>0.67100137831845152</v>
      </c>
      <c r="T287" s="10">
        <f>IFERROR(1000*Table1[[#This Row],[Gross Cost]]/Table1[[#This Row],[Viewable Impressions]],0)</f>
        <v>215.03923595605963</v>
      </c>
      <c r="U287" s="10"/>
    </row>
    <row r="288" spans="1:21" x14ac:dyDescent="0.2">
      <c r="A288" t="s">
        <v>84</v>
      </c>
      <c r="B288" t="s">
        <v>14</v>
      </c>
      <c r="C288" t="s">
        <v>15</v>
      </c>
      <c r="D288" t="s">
        <v>42</v>
      </c>
      <c r="E288" t="str">
        <f>TRIM(RIGHT(Table1[[#This Row],[Location]],LEN(Table1[[#This Row],[Location]])-FIND(",",Table1[[#This Row],[Location]])))</f>
        <v>Illinois</v>
      </c>
      <c r="F288" t="s">
        <v>81</v>
      </c>
      <c r="G288" t="s">
        <v>47</v>
      </c>
      <c r="H288" t="s">
        <v>26</v>
      </c>
      <c r="I288">
        <v>11062</v>
      </c>
      <c r="J288">
        <v>78</v>
      </c>
      <c r="K288">
        <v>6539</v>
      </c>
      <c r="L288">
        <v>9391</v>
      </c>
      <c r="M288">
        <v>2</v>
      </c>
      <c r="N288">
        <v>1500.09932</v>
      </c>
      <c r="O288" s="7">
        <f>IFERROR(Table1[[#This Row],[Clicks]]/Table1[[#This Row],[Impressions]],0)</f>
        <v>7.0511661544024589E-3</v>
      </c>
      <c r="P288" s="5">
        <f>IFERROR(Table1[[#This Row],[Total Conversions]]/Table1[[#This Row],[Clicks]],0)</f>
        <v>2.564102564102564E-2</v>
      </c>
      <c r="Q288" s="10">
        <f>IFERROR(Table1[[#This Row],[Gross Cost]]/Table1[[#This Row],[Total Conversions]],0)</f>
        <v>750.04966000000002</v>
      </c>
      <c r="R288" s="10">
        <f>IFERROR(Table1[[#This Row],[Gross Cost]]/(Table1[[#This Row],[Impressions]]/1000),0)</f>
        <v>135.60832760802748</v>
      </c>
      <c r="S288" s="5">
        <f>IFERROR(Table1[[#This Row],[Viewable Impressions]]/Table1[[#This Row],[Measurable Impressions]],0)</f>
        <v>0.6963049728463423</v>
      </c>
      <c r="T288" s="10">
        <f>IFERROR(1000*Table1[[#This Row],[Gross Cost]]/Table1[[#This Row],[Viewable Impressions]],0)</f>
        <v>229.40806239486162</v>
      </c>
      <c r="U288" s="10"/>
    </row>
    <row r="289" spans="1:21" x14ac:dyDescent="0.2">
      <c r="A289" t="s">
        <v>964</v>
      </c>
      <c r="B289" t="s">
        <v>14</v>
      </c>
      <c r="C289" t="s">
        <v>22</v>
      </c>
      <c r="D289" t="s">
        <v>54</v>
      </c>
      <c r="E289" t="str">
        <f>TRIM(RIGHT(Table1[[#This Row],[Location]],LEN(Table1[[#This Row],[Location]])-FIND(",",Table1[[#This Row],[Location]])))</f>
        <v>Florida</v>
      </c>
      <c r="F289" t="s">
        <v>960</v>
      </c>
      <c r="G289" t="s">
        <v>45</v>
      </c>
      <c r="H289" t="s">
        <v>26</v>
      </c>
      <c r="I289">
        <v>12319</v>
      </c>
      <c r="J289">
        <v>40</v>
      </c>
      <c r="K289">
        <v>7028</v>
      </c>
      <c r="L289">
        <v>10191</v>
      </c>
      <c r="M289">
        <v>7</v>
      </c>
      <c r="N289">
        <v>1668.0160000000001</v>
      </c>
      <c r="O289" s="7">
        <f>IFERROR(Table1[[#This Row],[Clicks]]/Table1[[#This Row],[Impressions]],0)</f>
        <v>3.247016803311957E-3</v>
      </c>
      <c r="P289" s="5">
        <f>IFERROR(Table1[[#This Row],[Total Conversions]]/Table1[[#This Row],[Clicks]],0)</f>
        <v>0.17499999999999999</v>
      </c>
      <c r="Q289" s="10">
        <f>IFERROR(Table1[[#This Row],[Gross Cost]]/Table1[[#This Row],[Total Conversions]],0)</f>
        <v>238.28800000000001</v>
      </c>
      <c r="R289" s="10">
        <f>IFERROR(Table1[[#This Row],[Gross Cost]]/(Table1[[#This Row],[Impressions]]/1000),0)</f>
        <v>135.40189950482994</v>
      </c>
      <c r="S289" s="5">
        <f>IFERROR(Table1[[#This Row],[Viewable Impressions]]/Table1[[#This Row],[Measurable Impressions]],0)</f>
        <v>0.68962810322833878</v>
      </c>
      <c r="T289" s="10">
        <f>IFERROR(1000*Table1[[#This Row],[Gross Cost]]/Table1[[#This Row],[Viewable Impressions]],0)</f>
        <v>237.33864541832671</v>
      </c>
      <c r="U289" s="10"/>
    </row>
    <row r="290" spans="1:21" x14ac:dyDescent="0.2">
      <c r="A290" t="s">
        <v>1039</v>
      </c>
      <c r="B290" t="s">
        <v>21</v>
      </c>
      <c r="C290" t="s">
        <v>22</v>
      </c>
      <c r="D290" t="s">
        <v>34</v>
      </c>
      <c r="E290" t="str">
        <f>TRIM(RIGHT(Table1[[#This Row],[Location]],LEN(Table1[[#This Row],[Location]])-FIND(",",Table1[[#This Row],[Location]])))</f>
        <v>Illinois</v>
      </c>
      <c r="F290" t="s">
        <v>1040</v>
      </c>
      <c r="G290" t="s">
        <v>25</v>
      </c>
      <c r="H290" t="s">
        <v>26</v>
      </c>
      <c r="I290">
        <v>10903</v>
      </c>
      <c r="J290">
        <v>35</v>
      </c>
      <c r="K290">
        <v>3776</v>
      </c>
      <c r="L290">
        <v>9581</v>
      </c>
      <c r="M290">
        <v>2</v>
      </c>
      <c r="N290">
        <v>1460.0097539999999</v>
      </c>
      <c r="O290" s="7">
        <f>IFERROR(Table1[[#This Row],[Clicks]]/Table1[[#This Row],[Impressions]],0)</f>
        <v>3.2101256534898654E-3</v>
      </c>
      <c r="P290" s="5">
        <f>IFERROR(Table1[[#This Row],[Total Conversions]]/Table1[[#This Row],[Clicks]],0)</f>
        <v>5.7142857142857141E-2</v>
      </c>
      <c r="Q290" s="10">
        <f>IFERROR(Table1[[#This Row],[Gross Cost]]/Table1[[#This Row],[Total Conversions]],0)</f>
        <v>730.00487699999996</v>
      </c>
      <c r="R290" s="10">
        <f>IFERROR(Table1[[#This Row],[Gross Cost]]/(Table1[[#This Row],[Impressions]]/1000),0)</f>
        <v>133.90899330459504</v>
      </c>
      <c r="S290" s="5">
        <f>IFERROR(Table1[[#This Row],[Viewable Impressions]]/Table1[[#This Row],[Measurable Impressions]],0)</f>
        <v>0.39411334933722991</v>
      </c>
      <c r="T290" s="10">
        <f>IFERROR(1000*Table1[[#This Row],[Gross Cost]]/Table1[[#This Row],[Viewable Impressions]],0)</f>
        <v>386.65512552966101</v>
      </c>
      <c r="U290" s="10"/>
    </row>
    <row r="291" spans="1:21" x14ac:dyDescent="0.2">
      <c r="A291" t="s">
        <v>308</v>
      </c>
      <c r="B291" t="s">
        <v>21</v>
      </c>
      <c r="C291" t="s">
        <v>22</v>
      </c>
      <c r="D291" t="s">
        <v>28</v>
      </c>
      <c r="E291" t="str">
        <f>TRIM(RIGHT(Table1[[#This Row],[Location]],LEN(Table1[[#This Row],[Location]])-FIND(",",Table1[[#This Row],[Location]])))</f>
        <v>California</v>
      </c>
      <c r="F291" t="s">
        <v>296</v>
      </c>
      <c r="G291" t="s">
        <v>116</v>
      </c>
      <c r="H291" t="s">
        <v>26</v>
      </c>
      <c r="I291">
        <v>39794</v>
      </c>
      <c r="J291">
        <v>101</v>
      </c>
      <c r="K291">
        <v>17539</v>
      </c>
      <c r="L291">
        <v>37664</v>
      </c>
      <c r="M291">
        <v>12</v>
      </c>
      <c r="N291">
        <v>5328.5245139999997</v>
      </c>
      <c r="O291" s="7">
        <f>IFERROR(Table1[[#This Row],[Clicks]]/Table1[[#This Row],[Impressions]],0)</f>
        <v>2.5380710659898475E-3</v>
      </c>
      <c r="P291" s="5">
        <f>IFERROR(Table1[[#This Row],[Total Conversions]]/Table1[[#This Row],[Clicks]],0)</f>
        <v>0.11881188118811881</v>
      </c>
      <c r="Q291" s="10">
        <f>IFERROR(Table1[[#This Row],[Gross Cost]]/Table1[[#This Row],[Total Conversions]],0)</f>
        <v>444.04370949999998</v>
      </c>
      <c r="R291" s="10">
        <f>IFERROR(Table1[[#This Row],[Gross Cost]]/(Table1[[#This Row],[Impressions]]/1000),0)</f>
        <v>133.90271181585163</v>
      </c>
      <c r="S291" s="5">
        <f>IFERROR(Table1[[#This Row],[Viewable Impressions]]/Table1[[#This Row],[Measurable Impressions]],0)</f>
        <v>0.4656701359388275</v>
      </c>
      <c r="T291" s="10">
        <f>IFERROR(1000*Table1[[#This Row],[Gross Cost]]/Table1[[#This Row],[Viewable Impressions]],0)</f>
        <v>303.81005268259304</v>
      </c>
      <c r="U291" s="10"/>
    </row>
    <row r="292" spans="1:21" x14ac:dyDescent="0.2">
      <c r="A292" t="s">
        <v>1020</v>
      </c>
      <c r="B292" t="s">
        <v>21</v>
      </c>
      <c r="C292" t="s">
        <v>15</v>
      </c>
      <c r="D292" t="s">
        <v>28</v>
      </c>
      <c r="E292" t="str">
        <f>TRIM(RIGHT(Table1[[#This Row],[Location]],LEN(Table1[[#This Row],[Location]])-FIND(",",Table1[[#This Row],[Location]])))</f>
        <v>California</v>
      </c>
      <c r="F292" t="s">
        <v>1019</v>
      </c>
      <c r="G292" t="s">
        <v>18</v>
      </c>
      <c r="H292" t="s">
        <v>26</v>
      </c>
      <c r="I292">
        <v>14890</v>
      </c>
      <c r="J292">
        <v>60</v>
      </c>
      <c r="K292">
        <v>6248</v>
      </c>
      <c r="L292">
        <v>11493</v>
      </c>
      <c r="M292">
        <v>6</v>
      </c>
      <c r="N292">
        <v>1982.4164840000001</v>
      </c>
      <c r="O292" s="7">
        <f>IFERROR(Table1[[#This Row],[Clicks]]/Table1[[#This Row],[Impressions]],0)</f>
        <v>4.0295500335795834E-3</v>
      </c>
      <c r="P292" s="5">
        <f>IFERROR(Table1[[#This Row],[Total Conversions]]/Table1[[#This Row],[Clicks]],0)</f>
        <v>0.1</v>
      </c>
      <c r="Q292" s="10">
        <f>IFERROR(Table1[[#This Row],[Gross Cost]]/Table1[[#This Row],[Total Conversions]],0)</f>
        <v>330.40274733333337</v>
      </c>
      <c r="R292" s="10">
        <f>IFERROR(Table1[[#This Row],[Gross Cost]]/(Table1[[#This Row],[Impressions]]/1000),0)</f>
        <v>133.13744016118201</v>
      </c>
      <c r="S292" s="5">
        <f>IFERROR(Table1[[#This Row],[Viewable Impressions]]/Table1[[#This Row],[Measurable Impressions]],0)</f>
        <v>0.54363525624293052</v>
      </c>
      <c r="T292" s="10">
        <f>IFERROR(1000*Table1[[#This Row],[Gross Cost]]/Table1[[#This Row],[Viewable Impressions]],0)</f>
        <v>317.28816965428939</v>
      </c>
      <c r="U292" s="10"/>
    </row>
    <row r="293" spans="1:21" x14ac:dyDescent="0.2">
      <c r="A293" t="s">
        <v>187</v>
      </c>
      <c r="B293" t="s">
        <v>14</v>
      </c>
      <c r="C293" t="s">
        <v>41</v>
      </c>
      <c r="D293" t="s">
        <v>31</v>
      </c>
      <c r="E293" t="str">
        <f>TRIM(RIGHT(Table1[[#This Row],[Location]],LEN(Table1[[#This Row],[Location]])-FIND(",",Table1[[#This Row],[Location]])))</f>
        <v>Michigan</v>
      </c>
      <c r="F293" t="s">
        <v>185</v>
      </c>
      <c r="G293" t="s">
        <v>25</v>
      </c>
      <c r="H293" t="s">
        <v>51</v>
      </c>
      <c r="I293">
        <v>48562</v>
      </c>
      <c r="J293">
        <v>150</v>
      </c>
      <c r="K293">
        <v>29108</v>
      </c>
      <c r="L293">
        <v>45570</v>
      </c>
      <c r="M293">
        <v>11</v>
      </c>
      <c r="N293">
        <v>6346.6330239999998</v>
      </c>
      <c r="O293" s="7">
        <f>IFERROR(Table1[[#This Row],[Clicks]]/Table1[[#This Row],[Impressions]],0)</f>
        <v>3.088834891478934E-3</v>
      </c>
      <c r="P293" s="5">
        <f>IFERROR(Table1[[#This Row],[Total Conversions]]/Table1[[#This Row],[Clicks]],0)</f>
        <v>7.3333333333333334E-2</v>
      </c>
      <c r="Q293" s="10">
        <f>IFERROR(Table1[[#This Row],[Gross Cost]]/Table1[[#This Row],[Total Conversions]],0)</f>
        <v>576.96663854545454</v>
      </c>
      <c r="R293" s="10">
        <f>IFERROR(Table1[[#This Row],[Gross Cost]]/(Table1[[#This Row],[Impressions]]/1000),0)</f>
        <v>130.69134351962441</v>
      </c>
      <c r="S293" s="5">
        <f>IFERROR(Table1[[#This Row],[Viewable Impressions]]/Table1[[#This Row],[Measurable Impressions]],0)</f>
        <v>0.63875356594250599</v>
      </c>
      <c r="T293" s="10">
        <f>IFERROR(1000*Table1[[#This Row],[Gross Cost]]/Table1[[#This Row],[Viewable Impressions]],0)</f>
        <v>218.03741321973342</v>
      </c>
      <c r="U293" s="10"/>
    </row>
    <row r="294" spans="1:21" x14ac:dyDescent="0.2">
      <c r="A294" t="s">
        <v>48</v>
      </c>
      <c r="B294" t="s">
        <v>14</v>
      </c>
      <c r="C294" t="s">
        <v>22</v>
      </c>
      <c r="D294" t="s">
        <v>16</v>
      </c>
      <c r="E294" t="str">
        <f>TRIM(RIGHT(Table1[[#This Row],[Location]],LEN(Table1[[#This Row],[Location]])-FIND(",",Table1[[#This Row],[Location]])))</f>
        <v>California</v>
      </c>
      <c r="F294" t="s">
        <v>24</v>
      </c>
      <c r="G294" t="s">
        <v>49</v>
      </c>
      <c r="H294" t="s">
        <v>26</v>
      </c>
      <c r="I294">
        <v>15200</v>
      </c>
      <c r="J294">
        <v>60</v>
      </c>
      <c r="K294">
        <v>5375</v>
      </c>
      <c r="L294">
        <v>12040</v>
      </c>
      <c r="M294">
        <v>4</v>
      </c>
      <c r="N294">
        <v>1970.3573449999999</v>
      </c>
      <c r="O294" s="7">
        <f>IFERROR(Table1[[#This Row],[Clicks]]/Table1[[#This Row],[Impressions]],0)</f>
        <v>3.9473684210526317E-3</v>
      </c>
      <c r="P294" s="5">
        <f>IFERROR(Table1[[#This Row],[Total Conversions]]/Table1[[#This Row],[Clicks]],0)</f>
        <v>6.6666666666666666E-2</v>
      </c>
      <c r="Q294" s="10">
        <f>IFERROR(Table1[[#This Row],[Gross Cost]]/Table1[[#This Row],[Total Conversions]],0)</f>
        <v>492.58933624999997</v>
      </c>
      <c r="R294" s="10">
        <f>IFERROR(Table1[[#This Row],[Gross Cost]]/(Table1[[#This Row],[Impressions]]/1000),0)</f>
        <v>129.62877269736842</v>
      </c>
      <c r="S294" s="5">
        <f>IFERROR(Table1[[#This Row],[Viewable Impressions]]/Table1[[#This Row],[Measurable Impressions]],0)</f>
        <v>0.44642857142857145</v>
      </c>
      <c r="T294" s="10">
        <f>IFERROR(1000*Table1[[#This Row],[Gross Cost]]/Table1[[#This Row],[Viewable Impressions]],0)</f>
        <v>366.57811069767439</v>
      </c>
      <c r="U294" s="10"/>
    </row>
    <row r="295" spans="1:21" x14ac:dyDescent="0.2">
      <c r="A295" t="s">
        <v>906</v>
      </c>
      <c r="B295" t="s">
        <v>60</v>
      </c>
      <c r="C295" t="s">
        <v>41</v>
      </c>
      <c r="D295" t="s">
        <v>31</v>
      </c>
      <c r="E295" t="str">
        <f>TRIM(RIGHT(Table1[[#This Row],[Location]],LEN(Table1[[#This Row],[Location]])-FIND(",",Table1[[#This Row],[Location]])))</f>
        <v>Michigan</v>
      </c>
      <c r="F295" t="s">
        <v>907</v>
      </c>
      <c r="G295" t="s">
        <v>25</v>
      </c>
      <c r="H295" t="s">
        <v>26</v>
      </c>
      <c r="I295">
        <v>13608</v>
      </c>
      <c r="J295">
        <v>66</v>
      </c>
      <c r="K295">
        <v>2714</v>
      </c>
      <c r="L295">
        <v>9332</v>
      </c>
      <c r="M295">
        <v>1</v>
      </c>
      <c r="N295">
        <v>1762.663235</v>
      </c>
      <c r="O295" s="7">
        <f>IFERROR(Table1[[#This Row],[Clicks]]/Table1[[#This Row],[Impressions]],0)</f>
        <v>4.8500881834215165E-3</v>
      </c>
      <c r="P295" s="5">
        <f>IFERROR(Table1[[#This Row],[Total Conversions]]/Table1[[#This Row],[Clicks]],0)</f>
        <v>1.5151515151515152E-2</v>
      </c>
      <c r="Q295" s="10">
        <f>IFERROR(Table1[[#This Row],[Gross Cost]]/Table1[[#This Row],[Total Conversions]],0)</f>
        <v>1762.663235</v>
      </c>
      <c r="R295" s="10">
        <f>IFERROR(Table1[[#This Row],[Gross Cost]]/(Table1[[#This Row],[Impressions]]/1000),0)</f>
        <v>129.53139587007641</v>
      </c>
      <c r="S295" s="5">
        <f>IFERROR(Table1[[#This Row],[Viewable Impressions]]/Table1[[#This Row],[Measurable Impressions]],0)</f>
        <v>0.29082726103729106</v>
      </c>
      <c r="T295" s="10">
        <f>IFERROR(1000*Table1[[#This Row],[Gross Cost]]/Table1[[#This Row],[Viewable Impressions]],0)</f>
        <v>649.47060980103163</v>
      </c>
      <c r="U295" s="10"/>
    </row>
    <row r="296" spans="1:21" x14ac:dyDescent="0.2">
      <c r="A296" t="s">
        <v>40</v>
      </c>
      <c r="B296" t="s">
        <v>14</v>
      </c>
      <c r="C296" t="s">
        <v>41</v>
      </c>
      <c r="D296" t="s">
        <v>42</v>
      </c>
      <c r="E296" t="str">
        <f>TRIM(RIGHT(Table1[[#This Row],[Location]],LEN(Table1[[#This Row],[Location]])-FIND(",",Table1[[#This Row],[Location]])))</f>
        <v>Illinois</v>
      </c>
      <c r="F296" t="s">
        <v>24</v>
      </c>
      <c r="G296" t="s">
        <v>35</v>
      </c>
      <c r="H296" t="s">
        <v>26</v>
      </c>
      <c r="I296">
        <v>36863</v>
      </c>
      <c r="J296">
        <v>116</v>
      </c>
      <c r="K296">
        <v>3570</v>
      </c>
      <c r="L296">
        <v>29458</v>
      </c>
      <c r="M296">
        <v>15</v>
      </c>
      <c r="N296">
        <v>4752.8166849999998</v>
      </c>
      <c r="O296" s="7">
        <f>IFERROR(Table1[[#This Row],[Clicks]]/Table1[[#This Row],[Impressions]],0)</f>
        <v>3.1467867509426795E-3</v>
      </c>
      <c r="P296" s="5">
        <f>IFERROR(Table1[[#This Row],[Total Conversions]]/Table1[[#This Row],[Clicks]],0)</f>
        <v>0.12931034482758622</v>
      </c>
      <c r="Q296" s="10">
        <f>IFERROR(Table1[[#This Row],[Gross Cost]]/Table1[[#This Row],[Total Conversions]],0)</f>
        <v>316.85444566666666</v>
      </c>
      <c r="R296" s="10">
        <f>IFERROR(Table1[[#This Row],[Gross Cost]]/(Table1[[#This Row],[Impressions]]/1000),0)</f>
        <v>128.93190150014919</v>
      </c>
      <c r="S296" s="5">
        <f>IFERROR(Table1[[#This Row],[Viewable Impressions]]/Table1[[#This Row],[Measurable Impressions]],0)</f>
        <v>0.12118949012152895</v>
      </c>
      <c r="T296" s="10">
        <f>IFERROR(1000*Table1[[#This Row],[Gross Cost]]/Table1[[#This Row],[Viewable Impressions]],0)</f>
        <v>1331.321200280112</v>
      </c>
      <c r="U296" s="10"/>
    </row>
    <row r="297" spans="1:21" x14ac:dyDescent="0.2">
      <c r="A297" t="s">
        <v>720</v>
      </c>
      <c r="B297" t="s">
        <v>14</v>
      </c>
      <c r="C297" t="s">
        <v>30</v>
      </c>
      <c r="D297" t="s">
        <v>174</v>
      </c>
      <c r="E297" t="str">
        <f>TRIM(RIGHT(Table1[[#This Row],[Location]],LEN(Table1[[#This Row],[Location]])-FIND(",",Table1[[#This Row],[Location]])))</f>
        <v>Alabama-Pensacola, Florida</v>
      </c>
      <c r="F297" t="s">
        <v>717</v>
      </c>
      <c r="G297" t="s">
        <v>18</v>
      </c>
      <c r="H297" t="s">
        <v>26</v>
      </c>
      <c r="I297">
        <v>13202</v>
      </c>
      <c r="J297">
        <v>101</v>
      </c>
      <c r="K297">
        <v>10871</v>
      </c>
      <c r="L297">
        <v>12885</v>
      </c>
      <c r="M297">
        <v>3</v>
      </c>
      <c r="N297">
        <v>1699.0608090000001</v>
      </c>
      <c r="O297" s="7">
        <f>IFERROR(Table1[[#This Row],[Clicks]]/Table1[[#This Row],[Impressions]],0)</f>
        <v>7.6503560066656564E-3</v>
      </c>
      <c r="P297" s="5">
        <f>IFERROR(Table1[[#This Row],[Total Conversions]]/Table1[[#This Row],[Clicks]],0)</f>
        <v>2.9702970297029702E-2</v>
      </c>
      <c r="Q297" s="10">
        <f>IFERROR(Table1[[#This Row],[Gross Cost]]/Table1[[#This Row],[Total Conversions]],0)</f>
        <v>566.35360300000002</v>
      </c>
      <c r="R297" s="10">
        <f>IFERROR(Table1[[#This Row],[Gross Cost]]/(Table1[[#This Row],[Impressions]]/1000),0)</f>
        <v>128.69722837448873</v>
      </c>
      <c r="S297" s="5">
        <f>IFERROR(Table1[[#This Row],[Viewable Impressions]]/Table1[[#This Row],[Measurable Impressions]],0)</f>
        <v>0.84369421808304235</v>
      </c>
      <c r="T297" s="10">
        <f>IFERROR(1000*Table1[[#This Row],[Gross Cost]]/Table1[[#This Row],[Viewable Impressions]],0)</f>
        <v>156.2929637567841</v>
      </c>
      <c r="U297" s="10"/>
    </row>
    <row r="298" spans="1:21" x14ac:dyDescent="0.2">
      <c r="A298" t="s">
        <v>601</v>
      </c>
      <c r="B298" t="s">
        <v>60</v>
      </c>
      <c r="C298" t="s">
        <v>22</v>
      </c>
      <c r="D298" t="s">
        <v>44</v>
      </c>
      <c r="E298" t="str">
        <f>TRIM(RIGHT(Table1[[#This Row],[Location]],LEN(Table1[[#This Row],[Location]])-FIND(",",Table1[[#This Row],[Location]])))</f>
        <v>Florida</v>
      </c>
      <c r="F298" t="s">
        <v>597</v>
      </c>
      <c r="G298" t="s">
        <v>602</v>
      </c>
      <c r="H298" t="s">
        <v>26</v>
      </c>
      <c r="I298">
        <v>12459</v>
      </c>
      <c r="J298">
        <v>84</v>
      </c>
      <c r="K298">
        <v>7290</v>
      </c>
      <c r="L298">
        <v>11731</v>
      </c>
      <c r="M298">
        <v>14</v>
      </c>
      <c r="N298">
        <v>1593.010399</v>
      </c>
      <c r="O298" s="7">
        <f>IFERROR(Table1[[#This Row],[Clicks]]/Table1[[#This Row],[Impressions]],0)</f>
        <v>6.7421141343607027E-3</v>
      </c>
      <c r="P298" s="5">
        <f>IFERROR(Table1[[#This Row],[Total Conversions]]/Table1[[#This Row],[Clicks]],0)</f>
        <v>0.16666666666666666</v>
      </c>
      <c r="Q298" s="10">
        <f>IFERROR(Table1[[#This Row],[Gross Cost]]/Table1[[#This Row],[Total Conversions]],0)</f>
        <v>113.78645707142857</v>
      </c>
      <c r="R298" s="10">
        <f>IFERROR(Table1[[#This Row],[Gross Cost]]/(Table1[[#This Row],[Impressions]]/1000),0)</f>
        <v>127.86021342001766</v>
      </c>
      <c r="S298" s="5">
        <f>IFERROR(Table1[[#This Row],[Viewable Impressions]]/Table1[[#This Row],[Measurable Impressions]],0)</f>
        <v>0.62143039809052936</v>
      </c>
      <c r="T298" s="10">
        <f>IFERROR(1000*Table1[[#This Row],[Gross Cost]]/Table1[[#This Row],[Viewable Impressions]],0)</f>
        <v>218.51994499314128</v>
      </c>
      <c r="U298" s="10"/>
    </row>
    <row r="299" spans="1:21" x14ac:dyDescent="0.2">
      <c r="A299" t="s">
        <v>900</v>
      </c>
      <c r="B299" t="s">
        <v>21</v>
      </c>
      <c r="C299" t="s">
        <v>15</v>
      </c>
      <c r="D299" t="s">
        <v>34</v>
      </c>
      <c r="E299" t="str">
        <f>TRIM(RIGHT(Table1[[#This Row],[Location]],LEN(Table1[[#This Row],[Location]])-FIND(",",Table1[[#This Row],[Location]])))</f>
        <v>Illinois</v>
      </c>
      <c r="F299" t="s">
        <v>899</v>
      </c>
      <c r="G299" t="s">
        <v>47</v>
      </c>
      <c r="H299" t="s">
        <v>26</v>
      </c>
      <c r="I299">
        <v>47016</v>
      </c>
      <c r="J299">
        <v>199</v>
      </c>
      <c r="K299">
        <v>12210</v>
      </c>
      <c r="L299">
        <v>38039</v>
      </c>
      <c r="M299">
        <v>13</v>
      </c>
      <c r="N299">
        <v>5974.8750799999998</v>
      </c>
      <c r="O299" s="7">
        <f>IFERROR(Table1[[#This Row],[Clicks]]/Table1[[#This Row],[Impressions]],0)</f>
        <v>4.2326016675174405E-3</v>
      </c>
      <c r="P299" s="5">
        <f>IFERROR(Table1[[#This Row],[Total Conversions]]/Table1[[#This Row],[Clicks]],0)</f>
        <v>6.5326633165829151E-2</v>
      </c>
      <c r="Q299" s="10">
        <f>IFERROR(Table1[[#This Row],[Gross Cost]]/Table1[[#This Row],[Total Conversions]],0)</f>
        <v>459.60577538461536</v>
      </c>
      <c r="R299" s="10">
        <f>IFERROR(Table1[[#This Row],[Gross Cost]]/(Table1[[#This Row],[Impressions]]/1000),0)</f>
        <v>127.08173983324825</v>
      </c>
      <c r="S299" s="5">
        <f>IFERROR(Table1[[#This Row],[Viewable Impressions]]/Table1[[#This Row],[Measurable Impressions]],0)</f>
        <v>0.32098635610820475</v>
      </c>
      <c r="T299" s="10">
        <f>IFERROR(1000*Table1[[#This Row],[Gross Cost]]/Table1[[#This Row],[Viewable Impressions]],0)</f>
        <v>489.34275839475839</v>
      </c>
      <c r="U299" s="10"/>
    </row>
    <row r="300" spans="1:21" x14ac:dyDescent="0.2">
      <c r="A300" t="s">
        <v>973</v>
      </c>
      <c r="B300" t="s">
        <v>14</v>
      </c>
      <c r="C300" t="s">
        <v>15</v>
      </c>
      <c r="D300" t="s">
        <v>77</v>
      </c>
      <c r="E300" t="str">
        <f>TRIM(RIGHT(Table1[[#This Row],[Location]],LEN(Table1[[#This Row],[Location]])-FIND(",",Table1[[#This Row],[Location]])))</f>
        <v>New York</v>
      </c>
      <c r="F300" t="s">
        <v>974</v>
      </c>
      <c r="G300" t="s">
        <v>35</v>
      </c>
      <c r="H300" t="s">
        <v>26</v>
      </c>
      <c r="I300">
        <v>13642</v>
      </c>
      <c r="J300">
        <v>40</v>
      </c>
      <c r="K300">
        <v>9830</v>
      </c>
      <c r="L300">
        <v>11658</v>
      </c>
      <c r="M300">
        <v>3</v>
      </c>
      <c r="N300">
        <v>1731.2718480000001</v>
      </c>
      <c r="O300" s="7">
        <f>IFERROR(Table1[[#This Row],[Clicks]]/Table1[[#This Row],[Impressions]],0)</f>
        <v>2.9321213898255388E-3</v>
      </c>
      <c r="P300" s="5">
        <f>IFERROR(Table1[[#This Row],[Total Conversions]]/Table1[[#This Row],[Clicks]],0)</f>
        <v>7.4999999999999997E-2</v>
      </c>
      <c r="Q300" s="10">
        <f>IFERROR(Table1[[#This Row],[Gross Cost]]/Table1[[#This Row],[Total Conversions]],0)</f>
        <v>577.09061600000007</v>
      </c>
      <c r="R300" s="10">
        <f>IFERROR(Table1[[#This Row],[Gross Cost]]/(Table1[[#This Row],[Impressions]]/1000),0)</f>
        <v>126.90748042808974</v>
      </c>
      <c r="S300" s="5">
        <f>IFERROR(Table1[[#This Row],[Viewable Impressions]]/Table1[[#This Row],[Measurable Impressions]],0)</f>
        <v>0.84319780408303313</v>
      </c>
      <c r="T300" s="10">
        <f>IFERROR(1000*Table1[[#This Row],[Gross Cost]]/Table1[[#This Row],[Viewable Impressions]],0)</f>
        <v>176.1212459816887</v>
      </c>
      <c r="U300" s="10"/>
    </row>
    <row r="301" spans="1:21" x14ac:dyDescent="0.2">
      <c r="A301" t="s">
        <v>1005</v>
      </c>
      <c r="B301" t="s">
        <v>14</v>
      </c>
      <c r="C301" t="s">
        <v>22</v>
      </c>
      <c r="D301" t="s">
        <v>23</v>
      </c>
      <c r="E301" t="str">
        <f>TRIM(RIGHT(Table1[[#This Row],[Location]],LEN(Table1[[#This Row],[Location]])-FIND(",",Table1[[#This Row],[Location]])))</f>
        <v>Florida</v>
      </c>
      <c r="F301" t="s">
        <v>991</v>
      </c>
      <c r="G301" t="s">
        <v>18</v>
      </c>
      <c r="H301" t="s">
        <v>19</v>
      </c>
      <c r="I301">
        <v>17049</v>
      </c>
      <c r="J301">
        <v>84</v>
      </c>
      <c r="K301">
        <v>191</v>
      </c>
      <c r="L301">
        <v>15564</v>
      </c>
      <c r="M301">
        <v>15</v>
      </c>
      <c r="N301">
        <v>2144.489587</v>
      </c>
      <c r="O301" s="7">
        <f>IFERROR(Table1[[#This Row],[Clicks]]/Table1[[#This Row],[Impressions]],0)</f>
        <v>4.9269751891606543E-3</v>
      </c>
      <c r="P301" s="5">
        <f>IFERROR(Table1[[#This Row],[Total Conversions]]/Table1[[#This Row],[Clicks]],0)</f>
        <v>0.17857142857142858</v>
      </c>
      <c r="Q301" s="10">
        <f>IFERROR(Table1[[#This Row],[Gross Cost]]/Table1[[#This Row],[Total Conversions]],0)</f>
        <v>142.96597246666667</v>
      </c>
      <c r="R301" s="10">
        <f>IFERROR(Table1[[#This Row],[Gross Cost]]/(Table1[[#This Row],[Impressions]]/1000),0)</f>
        <v>125.7838927209807</v>
      </c>
      <c r="S301" s="5">
        <f>IFERROR(Table1[[#This Row],[Viewable Impressions]]/Table1[[#This Row],[Measurable Impressions]],0)</f>
        <v>1.2271909534823953E-2</v>
      </c>
      <c r="T301" s="10">
        <f>IFERROR(1000*Table1[[#This Row],[Gross Cost]]/Table1[[#This Row],[Viewable Impressions]],0)</f>
        <v>11227.694172774869</v>
      </c>
      <c r="U301" s="10"/>
    </row>
    <row r="302" spans="1:21" x14ac:dyDescent="0.2">
      <c r="A302" t="s">
        <v>72</v>
      </c>
      <c r="B302" t="s">
        <v>21</v>
      </c>
      <c r="C302" t="s">
        <v>30</v>
      </c>
      <c r="D302" t="s">
        <v>16</v>
      </c>
      <c r="E302" t="str">
        <f>TRIM(RIGHT(Table1[[#This Row],[Location]],LEN(Table1[[#This Row],[Location]])-FIND(",",Table1[[#This Row],[Location]])))</f>
        <v>California</v>
      </c>
      <c r="F302" t="s">
        <v>73</v>
      </c>
      <c r="G302" t="s">
        <v>47</v>
      </c>
      <c r="H302" t="s">
        <v>26</v>
      </c>
      <c r="I302">
        <v>40447</v>
      </c>
      <c r="J302">
        <v>177</v>
      </c>
      <c r="K302">
        <v>16663</v>
      </c>
      <c r="L302">
        <v>29774</v>
      </c>
      <c r="M302">
        <v>12</v>
      </c>
      <c r="N302">
        <v>5083.8862730000001</v>
      </c>
      <c r="O302" s="7">
        <f>IFERROR(Table1[[#This Row],[Clicks]]/Table1[[#This Row],[Impressions]],0)</f>
        <v>4.3760971147427498E-3</v>
      </c>
      <c r="P302" s="5">
        <f>IFERROR(Table1[[#This Row],[Total Conversions]]/Table1[[#This Row],[Clicks]],0)</f>
        <v>6.7796610169491525E-2</v>
      </c>
      <c r="Q302" s="10">
        <f>IFERROR(Table1[[#This Row],[Gross Cost]]/Table1[[#This Row],[Total Conversions]],0)</f>
        <v>423.65718941666665</v>
      </c>
      <c r="R302" s="10">
        <f>IFERROR(Table1[[#This Row],[Gross Cost]]/(Table1[[#This Row],[Impressions]]/1000),0)</f>
        <v>125.69254266076594</v>
      </c>
      <c r="S302" s="5">
        <f>IFERROR(Table1[[#This Row],[Viewable Impressions]]/Table1[[#This Row],[Measurable Impressions]],0)</f>
        <v>0.5596493585007053</v>
      </c>
      <c r="T302" s="10">
        <f>IFERROR(1000*Table1[[#This Row],[Gross Cost]]/Table1[[#This Row],[Viewable Impressions]],0)</f>
        <v>305.10029844565804</v>
      </c>
      <c r="U302" s="10"/>
    </row>
    <row r="303" spans="1:21" x14ac:dyDescent="0.2">
      <c r="A303" t="s">
        <v>770</v>
      </c>
      <c r="B303" t="s">
        <v>14</v>
      </c>
      <c r="C303" t="s">
        <v>30</v>
      </c>
      <c r="D303" t="s">
        <v>23</v>
      </c>
      <c r="E303" t="str">
        <f>TRIM(RIGHT(Table1[[#This Row],[Location]],LEN(Table1[[#This Row],[Location]])-FIND(",",Table1[[#This Row],[Location]])))</f>
        <v>Florida</v>
      </c>
      <c r="F303" t="s">
        <v>771</v>
      </c>
      <c r="G303" t="s">
        <v>45</v>
      </c>
      <c r="H303" t="s">
        <v>26</v>
      </c>
      <c r="I303">
        <v>15277</v>
      </c>
      <c r="J303">
        <v>69</v>
      </c>
      <c r="K303">
        <v>3089</v>
      </c>
      <c r="L303">
        <v>13644</v>
      </c>
      <c r="M303">
        <v>4</v>
      </c>
      <c r="N303">
        <v>1904.5643459999999</v>
      </c>
      <c r="O303" s="7">
        <f>IFERROR(Table1[[#This Row],[Clicks]]/Table1[[#This Row],[Impressions]],0)</f>
        <v>4.516593572036395E-3</v>
      </c>
      <c r="P303" s="5">
        <f>IFERROR(Table1[[#This Row],[Total Conversions]]/Table1[[#This Row],[Clicks]],0)</f>
        <v>5.7971014492753624E-2</v>
      </c>
      <c r="Q303" s="10">
        <f>IFERROR(Table1[[#This Row],[Gross Cost]]/Table1[[#This Row],[Total Conversions]],0)</f>
        <v>476.14108649999997</v>
      </c>
      <c r="R303" s="10">
        <f>IFERROR(Table1[[#This Row],[Gross Cost]]/(Table1[[#This Row],[Impressions]]/1000),0)</f>
        <v>124.66874032859855</v>
      </c>
      <c r="S303" s="5">
        <f>IFERROR(Table1[[#This Row],[Viewable Impressions]]/Table1[[#This Row],[Measurable Impressions]],0)</f>
        <v>0.22639988273233655</v>
      </c>
      <c r="T303" s="10">
        <f>IFERROR(1000*Table1[[#This Row],[Gross Cost]]/Table1[[#This Row],[Viewable Impressions]],0)</f>
        <v>616.56340110067981</v>
      </c>
      <c r="U303" s="10"/>
    </row>
    <row r="304" spans="1:21" x14ac:dyDescent="0.2">
      <c r="A304" t="s">
        <v>674</v>
      </c>
      <c r="B304" t="s">
        <v>21</v>
      </c>
      <c r="C304" t="s">
        <v>30</v>
      </c>
      <c r="D304" t="s">
        <v>31</v>
      </c>
      <c r="E304" t="str">
        <f>TRIM(RIGHT(Table1[[#This Row],[Location]],LEN(Table1[[#This Row],[Location]])-FIND(",",Table1[[#This Row],[Location]])))</f>
        <v>Michigan</v>
      </c>
      <c r="F304" t="s">
        <v>675</v>
      </c>
      <c r="G304" t="s">
        <v>160</v>
      </c>
      <c r="H304" t="s">
        <v>26</v>
      </c>
      <c r="I304">
        <v>16288</v>
      </c>
      <c r="J304">
        <v>56</v>
      </c>
      <c r="K304">
        <v>5304</v>
      </c>
      <c r="L304">
        <v>10731</v>
      </c>
      <c r="M304">
        <v>3</v>
      </c>
      <c r="N304">
        <v>2030.142709</v>
      </c>
      <c r="O304" s="7">
        <f>IFERROR(Table1[[#This Row],[Clicks]]/Table1[[#This Row],[Impressions]],0)</f>
        <v>3.43811394891945E-3</v>
      </c>
      <c r="P304" s="5">
        <f>IFERROR(Table1[[#This Row],[Total Conversions]]/Table1[[#This Row],[Clicks]],0)</f>
        <v>5.3571428571428568E-2</v>
      </c>
      <c r="Q304" s="10">
        <f>IFERROR(Table1[[#This Row],[Gross Cost]]/Table1[[#This Row],[Total Conversions]],0)</f>
        <v>676.71423633333336</v>
      </c>
      <c r="R304" s="10">
        <f>IFERROR(Table1[[#This Row],[Gross Cost]]/(Table1[[#This Row],[Impressions]]/1000),0)</f>
        <v>124.64039225196463</v>
      </c>
      <c r="S304" s="5">
        <f>IFERROR(Table1[[#This Row],[Viewable Impressions]]/Table1[[#This Row],[Measurable Impressions]],0)</f>
        <v>0.49426894045289349</v>
      </c>
      <c r="T304" s="10">
        <f>IFERROR(1000*Table1[[#This Row],[Gross Cost]]/Table1[[#This Row],[Viewable Impressions]],0)</f>
        <v>382.7569210030166</v>
      </c>
      <c r="U304" s="10"/>
    </row>
    <row r="305" spans="1:21" x14ac:dyDescent="0.2">
      <c r="A305" t="s">
        <v>783</v>
      </c>
      <c r="B305" t="s">
        <v>21</v>
      </c>
      <c r="C305" t="s">
        <v>15</v>
      </c>
      <c r="D305" t="s">
        <v>146</v>
      </c>
      <c r="E305" t="str">
        <f>TRIM(RIGHT(Table1[[#This Row],[Location]],LEN(Table1[[#This Row],[Location]])-FIND(",",Table1[[#This Row],[Location]])))</f>
        <v>Tennessee-Virginia</v>
      </c>
      <c r="F305" t="s">
        <v>784</v>
      </c>
      <c r="G305" t="s">
        <v>18</v>
      </c>
      <c r="H305" t="s">
        <v>26</v>
      </c>
      <c r="I305">
        <v>13168</v>
      </c>
      <c r="J305">
        <v>84</v>
      </c>
      <c r="K305">
        <v>8527</v>
      </c>
      <c r="L305">
        <v>12625</v>
      </c>
      <c r="M305">
        <v>4</v>
      </c>
      <c r="N305">
        <v>1639.72335</v>
      </c>
      <c r="O305" s="7">
        <f>IFERROR(Table1[[#This Row],[Clicks]]/Table1[[#This Row],[Impressions]],0)</f>
        <v>6.3791008505467801E-3</v>
      </c>
      <c r="P305" s="5">
        <f>IFERROR(Table1[[#This Row],[Total Conversions]]/Table1[[#This Row],[Clicks]],0)</f>
        <v>4.7619047619047616E-2</v>
      </c>
      <c r="Q305" s="10">
        <f>IFERROR(Table1[[#This Row],[Gross Cost]]/Table1[[#This Row],[Total Conversions]],0)</f>
        <v>409.9308375</v>
      </c>
      <c r="R305" s="10">
        <f>IFERROR(Table1[[#This Row],[Gross Cost]]/(Table1[[#This Row],[Impressions]]/1000),0)</f>
        <v>124.52334067436209</v>
      </c>
      <c r="S305" s="5">
        <f>IFERROR(Table1[[#This Row],[Viewable Impressions]]/Table1[[#This Row],[Measurable Impressions]],0)</f>
        <v>0.67540594059405945</v>
      </c>
      <c r="T305" s="10">
        <f>IFERROR(1000*Table1[[#This Row],[Gross Cost]]/Table1[[#This Row],[Viewable Impressions]],0)</f>
        <v>192.29780110238067</v>
      </c>
      <c r="U305" s="10"/>
    </row>
    <row r="306" spans="1:21" x14ac:dyDescent="0.2">
      <c r="A306" t="s">
        <v>323</v>
      </c>
      <c r="B306" t="s">
        <v>21</v>
      </c>
      <c r="C306" t="s">
        <v>30</v>
      </c>
      <c r="D306" t="s">
        <v>34</v>
      </c>
      <c r="E306" t="str">
        <f>TRIM(RIGHT(Table1[[#This Row],[Location]],LEN(Table1[[#This Row],[Location]])-FIND(",",Table1[[#This Row],[Location]])))</f>
        <v>Illinois</v>
      </c>
      <c r="F306" t="s">
        <v>296</v>
      </c>
      <c r="G306" t="s">
        <v>35</v>
      </c>
      <c r="H306" t="s">
        <v>26</v>
      </c>
      <c r="I306">
        <v>12088</v>
      </c>
      <c r="J306">
        <v>88</v>
      </c>
      <c r="K306">
        <v>1124</v>
      </c>
      <c r="L306">
        <v>10003</v>
      </c>
      <c r="M306">
        <v>2</v>
      </c>
      <c r="N306">
        <v>1500.0261519999999</v>
      </c>
      <c r="O306" s="7">
        <f>IFERROR(Table1[[#This Row],[Clicks]]/Table1[[#This Row],[Impressions]],0)</f>
        <v>7.2799470549305099E-3</v>
      </c>
      <c r="P306" s="5">
        <f>IFERROR(Table1[[#This Row],[Total Conversions]]/Table1[[#This Row],[Clicks]],0)</f>
        <v>2.2727272727272728E-2</v>
      </c>
      <c r="Q306" s="10">
        <f>IFERROR(Table1[[#This Row],[Gross Cost]]/Table1[[#This Row],[Total Conversions]],0)</f>
        <v>750.01307599999996</v>
      </c>
      <c r="R306" s="10">
        <f>IFERROR(Table1[[#This Row],[Gross Cost]]/(Table1[[#This Row],[Impressions]]/1000),0)</f>
        <v>124.09217008603574</v>
      </c>
      <c r="S306" s="5">
        <f>IFERROR(Table1[[#This Row],[Viewable Impressions]]/Table1[[#This Row],[Measurable Impressions]],0)</f>
        <v>0.11236629011296612</v>
      </c>
      <c r="T306" s="10">
        <f>IFERROR(1000*Table1[[#This Row],[Gross Cost]]/Table1[[#This Row],[Viewable Impressions]],0)</f>
        <v>1334.5428398576512</v>
      </c>
      <c r="U306" s="10"/>
    </row>
    <row r="307" spans="1:21" x14ac:dyDescent="0.2">
      <c r="A307" t="s">
        <v>107</v>
      </c>
      <c r="B307" t="s">
        <v>21</v>
      </c>
      <c r="C307" t="s">
        <v>22</v>
      </c>
      <c r="D307" t="s">
        <v>23</v>
      </c>
      <c r="E307" t="str">
        <f>TRIM(RIGHT(Table1[[#This Row],[Location]],LEN(Table1[[#This Row],[Location]])-FIND(",",Table1[[#This Row],[Location]])))</f>
        <v>Florida</v>
      </c>
      <c r="F307" t="s">
        <v>104</v>
      </c>
      <c r="G307" t="s">
        <v>18</v>
      </c>
      <c r="H307" t="s">
        <v>26</v>
      </c>
      <c r="I307">
        <v>17752</v>
      </c>
      <c r="J307">
        <v>98</v>
      </c>
      <c r="K307">
        <v>5855</v>
      </c>
      <c r="L307">
        <v>15753</v>
      </c>
      <c r="M307">
        <v>5</v>
      </c>
      <c r="N307">
        <v>2200.297094</v>
      </c>
      <c r="O307" s="7">
        <f>IFERROR(Table1[[#This Row],[Clicks]]/Table1[[#This Row],[Impressions]],0)</f>
        <v>5.5205047318611991E-3</v>
      </c>
      <c r="P307" s="5">
        <f>IFERROR(Table1[[#This Row],[Total Conversions]]/Table1[[#This Row],[Clicks]],0)</f>
        <v>5.1020408163265307E-2</v>
      </c>
      <c r="Q307" s="10">
        <f>IFERROR(Table1[[#This Row],[Gross Cost]]/Table1[[#This Row],[Total Conversions]],0)</f>
        <v>440.0594188</v>
      </c>
      <c r="R307" s="10">
        <f>IFERROR(Table1[[#This Row],[Gross Cost]]/(Table1[[#This Row],[Impressions]]/1000),0)</f>
        <v>123.94643386660658</v>
      </c>
      <c r="S307" s="5">
        <f>IFERROR(Table1[[#This Row],[Viewable Impressions]]/Table1[[#This Row],[Measurable Impressions]],0)</f>
        <v>0.37167523646289596</v>
      </c>
      <c r="T307" s="10">
        <f>IFERROR(1000*Table1[[#This Row],[Gross Cost]]/Table1[[#This Row],[Viewable Impressions]],0)</f>
        <v>375.79796652433816</v>
      </c>
      <c r="U307" s="10"/>
    </row>
    <row r="308" spans="1:21" x14ac:dyDescent="0.2">
      <c r="A308" t="s">
        <v>179</v>
      </c>
      <c r="B308" t="s">
        <v>21</v>
      </c>
      <c r="C308" t="s">
        <v>15</v>
      </c>
      <c r="D308" t="s">
        <v>180</v>
      </c>
      <c r="E308" t="str">
        <f>TRIM(RIGHT(Table1[[#This Row],[Location]],LEN(Table1[[#This Row],[Location]])-FIND(",",Table1[[#This Row],[Location]])))</f>
        <v>Alabama</v>
      </c>
      <c r="F308" t="s">
        <v>177</v>
      </c>
      <c r="G308" t="s">
        <v>116</v>
      </c>
      <c r="H308" t="s">
        <v>26</v>
      </c>
      <c r="I308">
        <v>16227</v>
      </c>
      <c r="J308">
        <v>40</v>
      </c>
      <c r="K308">
        <v>9438</v>
      </c>
      <c r="L308">
        <v>15611</v>
      </c>
      <c r="M308">
        <v>3</v>
      </c>
      <c r="N308">
        <v>1991.9438399999999</v>
      </c>
      <c r="O308" s="7">
        <f>IFERROR(Table1[[#This Row],[Clicks]]/Table1[[#This Row],[Impressions]],0)</f>
        <v>2.4650274234300855E-3</v>
      </c>
      <c r="P308" s="5">
        <f>IFERROR(Table1[[#This Row],[Total Conversions]]/Table1[[#This Row],[Clicks]],0)</f>
        <v>7.4999999999999997E-2</v>
      </c>
      <c r="Q308" s="10">
        <f>IFERROR(Table1[[#This Row],[Gross Cost]]/Table1[[#This Row],[Total Conversions]],0)</f>
        <v>663.98127999999997</v>
      </c>
      <c r="R308" s="10">
        <f>IFERROR(Table1[[#This Row],[Gross Cost]]/(Table1[[#This Row],[Impressions]]/1000),0)</f>
        <v>122.75490478831576</v>
      </c>
      <c r="S308" s="5">
        <f>IFERROR(Table1[[#This Row],[Viewable Impressions]]/Table1[[#This Row],[Measurable Impressions]],0)</f>
        <v>0.60457369803343797</v>
      </c>
      <c r="T308" s="10">
        <f>IFERROR(1000*Table1[[#This Row],[Gross Cost]]/Table1[[#This Row],[Viewable Impressions]],0)</f>
        <v>211.05571519389699</v>
      </c>
      <c r="U308" s="10"/>
    </row>
    <row r="309" spans="1:21" x14ac:dyDescent="0.2">
      <c r="A309" t="s">
        <v>825</v>
      </c>
      <c r="B309" t="s">
        <v>21</v>
      </c>
      <c r="C309" t="s">
        <v>30</v>
      </c>
      <c r="D309" t="s">
        <v>54</v>
      </c>
      <c r="E309" t="str">
        <f>TRIM(RIGHT(Table1[[#This Row],[Location]],LEN(Table1[[#This Row],[Location]])-FIND(",",Table1[[#This Row],[Location]])))</f>
        <v>Florida</v>
      </c>
      <c r="F309" t="s">
        <v>818</v>
      </c>
      <c r="G309" t="s">
        <v>45</v>
      </c>
      <c r="H309" t="s">
        <v>26</v>
      </c>
      <c r="I309">
        <v>12510</v>
      </c>
      <c r="J309">
        <v>74</v>
      </c>
      <c r="K309">
        <v>4391</v>
      </c>
      <c r="L309">
        <v>9098</v>
      </c>
      <c r="M309">
        <v>6</v>
      </c>
      <c r="N309">
        <v>1524.470523</v>
      </c>
      <c r="O309" s="7">
        <f>IFERROR(Table1[[#This Row],[Clicks]]/Table1[[#This Row],[Impressions]],0)</f>
        <v>5.915267785771383E-3</v>
      </c>
      <c r="P309" s="5">
        <f>IFERROR(Table1[[#This Row],[Total Conversions]]/Table1[[#This Row],[Clicks]],0)</f>
        <v>8.1081081081081086E-2</v>
      </c>
      <c r="Q309" s="10">
        <f>IFERROR(Table1[[#This Row],[Gross Cost]]/Table1[[#This Row],[Total Conversions]],0)</f>
        <v>254.07842049999999</v>
      </c>
      <c r="R309" s="10">
        <f>IFERROR(Table1[[#This Row],[Gross Cost]]/(Table1[[#This Row],[Impressions]]/1000),0)</f>
        <v>121.86015371702638</v>
      </c>
      <c r="S309" s="5">
        <f>IFERROR(Table1[[#This Row],[Viewable Impressions]]/Table1[[#This Row],[Measurable Impressions]],0)</f>
        <v>0.48263354583424928</v>
      </c>
      <c r="T309" s="10">
        <f>IFERROR(1000*Table1[[#This Row],[Gross Cost]]/Table1[[#This Row],[Viewable Impressions]],0)</f>
        <v>347.18071578228194</v>
      </c>
      <c r="U309" s="10"/>
    </row>
    <row r="310" spans="1:21" x14ac:dyDescent="0.2">
      <c r="A310" t="s">
        <v>1029</v>
      </c>
      <c r="B310" t="s">
        <v>21</v>
      </c>
      <c r="C310" t="s">
        <v>15</v>
      </c>
      <c r="D310" t="s">
        <v>54</v>
      </c>
      <c r="E310" t="str">
        <f>TRIM(RIGHT(Table1[[#This Row],[Location]],LEN(Table1[[#This Row],[Location]])-FIND(",",Table1[[#This Row],[Location]])))</f>
        <v>Florida</v>
      </c>
      <c r="F310" t="s">
        <v>1028</v>
      </c>
      <c r="G310" t="s">
        <v>116</v>
      </c>
      <c r="H310" t="s">
        <v>26</v>
      </c>
      <c r="I310">
        <v>12692</v>
      </c>
      <c r="J310">
        <v>105</v>
      </c>
      <c r="K310">
        <v>9048</v>
      </c>
      <c r="L310">
        <v>12326</v>
      </c>
      <c r="M310">
        <v>14</v>
      </c>
      <c r="N310">
        <v>1541.7195979999999</v>
      </c>
      <c r="O310" s="7">
        <f>IFERROR(Table1[[#This Row],[Clicks]]/Table1[[#This Row],[Impressions]],0)</f>
        <v>8.2729278285534197E-3</v>
      </c>
      <c r="P310" s="5">
        <f>IFERROR(Table1[[#This Row],[Total Conversions]]/Table1[[#This Row],[Clicks]],0)</f>
        <v>0.13333333333333333</v>
      </c>
      <c r="Q310" s="10">
        <f>IFERROR(Table1[[#This Row],[Gross Cost]]/Table1[[#This Row],[Total Conversions]],0)</f>
        <v>110.12282842857142</v>
      </c>
      <c r="R310" s="10">
        <f>IFERROR(Table1[[#This Row],[Gross Cost]]/(Table1[[#This Row],[Impressions]]/1000),0)</f>
        <v>121.47176158209895</v>
      </c>
      <c r="S310" s="5">
        <f>IFERROR(Table1[[#This Row],[Viewable Impressions]]/Table1[[#This Row],[Measurable Impressions]],0)</f>
        <v>0.73405808859321764</v>
      </c>
      <c r="T310" s="10">
        <f>IFERROR(1000*Table1[[#This Row],[Gross Cost]]/Table1[[#This Row],[Viewable Impressions]],0)</f>
        <v>170.39341268788684</v>
      </c>
      <c r="U310" s="10"/>
    </row>
    <row r="311" spans="1:21" x14ac:dyDescent="0.2">
      <c r="A311" t="s">
        <v>293</v>
      </c>
      <c r="B311" t="s">
        <v>21</v>
      </c>
      <c r="C311" t="s">
        <v>15</v>
      </c>
      <c r="D311" t="s">
        <v>28</v>
      </c>
      <c r="E311" t="str">
        <f>TRIM(RIGHT(Table1[[#This Row],[Location]],LEN(Table1[[#This Row],[Location]])-FIND(",",Table1[[#This Row],[Location]])))</f>
        <v>California</v>
      </c>
      <c r="F311" t="s">
        <v>290</v>
      </c>
      <c r="G311" t="s">
        <v>35</v>
      </c>
      <c r="H311" t="s">
        <v>26</v>
      </c>
      <c r="I311">
        <v>12220</v>
      </c>
      <c r="J311">
        <v>54</v>
      </c>
      <c r="K311">
        <v>7133</v>
      </c>
      <c r="L311">
        <v>11331</v>
      </c>
      <c r="M311">
        <v>3</v>
      </c>
      <c r="N311">
        <v>1478.392247</v>
      </c>
      <c r="O311" s="7">
        <f>IFERROR(Table1[[#This Row],[Clicks]]/Table1[[#This Row],[Impressions]],0)</f>
        <v>4.4189852700490997E-3</v>
      </c>
      <c r="P311" s="5">
        <f>IFERROR(Table1[[#This Row],[Total Conversions]]/Table1[[#This Row],[Clicks]],0)</f>
        <v>5.5555555555555552E-2</v>
      </c>
      <c r="Q311" s="10">
        <f>IFERROR(Table1[[#This Row],[Gross Cost]]/Table1[[#This Row],[Total Conversions]],0)</f>
        <v>492.79741566666667</v>
      </c>
      <c r="R311" s="10">
        <f>IFERROR(Table1[[#This Row],[Gross Cost]]/(Table1[[#This Row],[Impressions]]/1000),0)</f>
        <v>120.98136227495908</v>
      </c>
      <c r="S311" s="5">
        <f>IFERROR(Table1[[#This Row],[Viewable Impressions]]/Table1[[#This Row],[Measurable Impressions]],0)</f>
        <v>0.62951195834436502</v>
      </c>
      <c r="T311" s="10">
        <f>IFERROR(1000*Table1[[#This Row],[Gross Cost]]/Table1[[#This Row],[Viewable Impressions]],0)</f>
        <v>207.26093466984437</v>
      </c>
      <c r="U311" s="10"/>
    </row>
    <row r="312" spans="1:21" x14ac:dyDescent="0.2">
      <c r="A312" t="s">
        <v>255</v>
      </c>
      <c r="B312" t="s">
        <v>14</v>
      </c>
      <c r="C312" t="s">
        <v>15</v>
      </c>
      <c r="D312" t="s">
        <v>54</v>
      </c>
      <c r="E312" t="str">
        <f>TRIM(RIGHT(Table1[[#This Row],[Location]],LEN(Table1[[#This Row],[Location]])-FIND(",",Table1[[#This Row],[Location]])))</f>
        <v>Florida</v>
      </c>
      <c r="F312" t="s">
        <v>256</v>
      </c>
      <c r="G312" t="s">
        <v>45</v>
      </c>
      <c r="H312" t="s">
        <v>51</v>
      </c>
      <c r="I312">
        <v>24464</v>
      </c>
      <c r="J312">
        <v>0</v>
      </c>
      <c r="K312">
        <v>3275</v>
      </c>
      <c r="L312">
        <v>21993</v>
      </c>
      <c r="M312">
        <v>6</v>
      </c>
      <c r="N312">
        <v>2959.1149730000002</v>
      </c>
      <c r="O312" s="7">
        <f>IFERROR(Table1[[#This Row],[Clicks]]/Table1[[#This Row],[Impressions]],0)</f>
        <v>0</v>
      </c>
      <c r="P312" s="5">
        <f>IFERROR(Table1[[#This Row],[Total Conversions]]/Table1[[#This Row],[Clicks]],0)</f>
        <v>0</v>
      </c>
      <c r="Q312" s="10">
        <f>IFERROR(Table1[[#This Row],[Gross Cost]]/Table1[[#This Row],[Total Conversions]],0)</f>
        <v>493.18582883333335</v>
      </c>
      <c r="R312" s="10">
        <f>IFERROR(Table1[[#This Row],[Gross Cost]]/(Table1[[#This Row],[Impressions]]/1000),0)</f>
        <v>120.95793709123612</v>
      </c>
      <c r="S312" s="5">
        <f>IFERROR(Table1[[#This Row],[Viewable Impressions]]/Table1[[#This Row],[Measurable Impressions]],0)</f>
        <v>0.14891101714181784</v>
      </c>
      <c r="T312" s="10">
        <f>IFERROR(1000*Table1[[#This Row],[Gross Cost]]/Table1[[#This Row],[Viewable Impressions]],0)</f>
        <v>903.5465566412214</v>
      </c>
      <c r="U312" s="10"/>
    </row>
    <row r="313" spans="1:21" x14ac:dyDescent="0.2">
      <c r="A313" t="s">
        <v>66</v>
      </c>
      <c r="B313" t="s">
        <v>21</v>
      </c>
      <c r="C313" t="s">
        <v>15</v>
      </c>
      <c r="D313" t="s">
        <v>44</v>
      </c>
      <c r="E313" t="str">
        <f>TRIM(RIGHT(Table1[[#This Row],[Location]],LEN(Table1[[#This Row],[Location]])-FIND(",",Table1[[#This Row],[Location]])))</f>
        <v>Florida</v>
      </c>
      <c r="F313" t="s">
        <v>63</v>
      </c>
      <c r="G313" t="s">
        <v>25</v>
      </c>
      <c r="H313" t="s">
        <v>26</v>
      </c>
      <c r="I313">
        <v>12592</v>
      </c>
      <c r="J313">
        <v>63</v>
      </c>
      <c r="K313">
        <v>7472</v>
      </c>
      <c r="L313">
        <v>11687</v>
      </c>
      <c r="M313">
        <v>4</v>
      </c>
      <c r="N313">
        <v>1521.185189</v>
      </c>
      <c r="O313" s="7">
        <f>IFERROR(Table1[[#This Row],[Clicks]]/Table1[[#This Row],[Impressions]],0)</f>
        <v>5.0031766200762393E-3</v>
      </c>
      <c r="P313" s="5">
        <f>IFERROR(Table1[[#This Row],[Total Conversions]]/Table1[[#This Row],[Clicks]],0)</f>
        <v>6.3492063492063489E-2</v>
      </c>
      <c r="Q313" s="10">
        <f>IFERROR(Table1[[#This Row],[Gross Cost]]/Table1[[#This Row],[Total Conversions]],0)</f>
        <v>380.29629725000001</v>
      </c>
      <c r="R313" s="10">
        <f>IFERROR(Table1[[#This Row],[Gross Cost]]/(Table1[[#This Row],[Impressions]]/1000),0)</f>
        <v>120.80568527636595</v>
      </c>
      <c r="S313" s="5">
        <f>IFERROR(Table1[[#This Row],[Viewable Impressions]]/Table1[[#This Row],[Measurable Impressions]],0)</f>
        <v>0.63934285958757597</v>
      </c>
      <c r="T313" s="10">
        <f>IFERROR(1000*Table1[[#This Row],[Gross Cost]]/Table1[[#This Row],[Viewable Impressions]],0)</f>
        <v>203.58474156852247</v>
      </c>
      <c r="U313" s="10"/>
    </row>
    <row r="314" spans="1:21" x14ac:dyDescent="0.2">
      <c r="A314" t="s">
        <v>109</v>
      </c>
      <c r="B314" t="s">
        <v>21</v>
      </c>
      <c r="C314" t="s">
        <v>22</v>
      </c>
      <c r="D314" t="s">
        <v>34</v>
      </c>
      <c r="E314" t="str">
        <f>TRIM(RIGHT(Table1[[#This Row],[Location]],LEN(Table1[[#This Row],[Location]])-FIND(",",Table1[[#This Row],[Location]])))</f>
        <v>Illinois</v>
      </c>
      <c r="F314" t="s">
        <v>110</v>
      </c>
      <c r="G314" t="s">
        <v>18</v>
      </c>
      <c r="H314" t="s">
        <v>26</v>
      </c>
      <c r="I314">
        <v>15322</v>
      </c>
      <c r="J314">
        <v>55</v>
      </c>
      <c r="K314">
        <v>6416</v>
      </c>
      <c r="L314">
        <v>14049</v>
      </c>
      <c r="M314">
        <v>5</v>
      </c>
      <c r="N314">
        <v>1850.464205</v>
      </c>
      <c r="O314" s="7">
        <f>IFERROR(Table1[[#This Row],[Clicks]]/Table1[[#This Row],[Impressions]],0)</f>
        <v>3.5896097115259104E-3</v>
      </c>
      <c r="P314" s="5">
        <f>IFERROR(Table1[[#This Row],[Total Conversions]]/Table1[[#This Row],[Clicks]],0)</f>
        <v>9.0909090909090912E-2</v>
      </c>
      <c r="Q314" s="10">
        <f>IFERROR(Table1[[#This Row],[Gross Cost]]/Table1[[#This Row],[Total Conversions]],0)</f>
        <v>370.09284100000002</v>
      </c>
      <c r="R314" s="10">
        <f>IFERROR(Table1[[#This Row],[Gross Cost]]/(Table1[[#This Row],[Impressions]]/1000),0)</f>
        <v>120.77171420180133</v>
      </c>
      <c r="S314" s="5">
        <f>IFERROR(Table1[[#This Row],[Viewable Impressions]]/Table1[[#This Row],[Measurable Impressions]],0)</f>
        <v>0.45668730870524593</v>
      </c>
      <c r="T314" s="10">
        <f>IFERROR(1000*Table1[[#This Row],[Gross Cost]]/Table1[[#This Row],[Viewable Impressions]],0)</f>
        <v>288.41399703865341</v>
      </c>
      <c r="U314" s="10"/>
    </row>
    <row r="315" spans="1:21" x14ac:dyDescent="0.2">
      <c r="A315" t="s">
        <v>119</v>
      </c>
      <c r="B315" t="s">
        <v>21</v>
      </c>
      <c r="C315" t="s">
        <v>15</v>
      </c>
      <c r="D315" t="s">
        <v>120</v>
      </c>
      <c r="E315" t="str">
        <f>TRIM(RIGHT(Table1[[#This Row],[Location]],LEN(Table1[[#This Row],[Location]])-FIND(",",Table1[[#This Row],[Location]])))</f>
        <v>Georgia</v>
      </c>
      <c r="F315" t="s">
        <v>114</v>
      </c>
      <c r="G315" t="s">
        <v>79</v>
      </c>
      <c r="H315" t="s">
        <v>26</v>
      </c>
      <c r="I315">
        <v>43367</v>
      </c>
      <c r="J315">
        <v>111</v>
      </c>
      <c r="K315">
        <v>14306</v>
      </c>
      <c r="L315">
        <v>39750</v>
      </c>
      <c r="M315">
        <v>12</v>
      </c>
      <c r="N315">
        <v>5214.2986929999997</v>
      </c>
      <c r="O315" s="7">
        <f>IFERROR(Table1[[#This Row],[Clicks]]/Table1[[#This Row],[Impressions]],0)</f>
        <v>2.5595498881638111E-3</v>
      </c>
      <c r="P315" s="5">
        <f>IFERROR(Table1[[#This Row],[Total Conversions]]/Table1[[#This Row],[Clicks]],0)</f>
        <v>0.10810810810810811</v>
      </c>
      <c r="Q315" s="10">
        <f>IFERROR(Table1[[#This Row],[Gross Cost]]/Table1[[#This Row],[Total Conversions]],0)</f>
        <v>434.52489108333333</v>
      </c>
      <c r="R315" s="10">
        <f>IFERROR(Table1[[#This Row],[Gross Cost]]/(Table1[[#This Row],[Impressions]]/1000),0)</f>
        <v>120.23655528397168</v>
      </c>
      <c r="S315" s="5">
        <f>IFERROR(Table1[[#This Row],[Viewable Impressions]]/Table1[[#This Row],[Measurable Impressions]],0)</f>
        <v>0.35989937106918241</v>
      </c>
      <c r="T315" s="10">
        <f>IFERROR(1000*Table1[[#This Row],[Gross Cost]]/Table1[[#This Row],[Viewable Impressions]],0)</f>
        <v>364.48334216412695</v>
      </c>
      <c r="U315" s="10"/>
    </row>
    <row r="316" spans="1:21" x14ac:dyDescent="0.2">
      <c r="A316" t="s">
        <v>789</v>
      </c>
      <c r="B316" t="s">
        <v>21</v>
      </c>
      <c r="C316" t="s">
        <v>30</v>
      </c>
      <c r="D316" t="s">
        <v>77</v>
      </c>
      <c r="E316" t="str">
        <f>TRIM(RIGHT(Table1[[#This Row],[Location]],LEN(Table1[[#This Row],[Location]])-FIND(",",Table1[[#This Row],[Location]])))</f>
        <v>New York</v>
      </c>
      <c r="F316" t="s">
        <v>790</v>
      </c>
      <c r="G316" t="s">
        <v>47</v>
      </c>
      <c r="H316" t="s">
        <v>26</v>
      </c>
      <c r="I316">
        <v>20885</v>
      </c>
      <c r="J316">
        <v>99</v>
      </c>
      <c r="K316">
        <v>9901</v>
      </c>
      <c r="L316">
        <v>16266</v>
      </c>
      <c r="M316">
        <v>15</v>
      </c>
      <c r="N316">
        <v>2496.7854360000001</v>
      </c>
      <c r="O316" s="7">
        <f>IFERROR(Table1[[#This Row],[Clicks]]/Table1[[#This Row],[Impressions]],0)</f>
        <v>4.740244194397893E-3</v>
      </c>
      <c r="P316" s="5">
        <f>IFERROR(Table1[[#This Row],[Total Conversions]]/Table1[[#This Row],[Clicks]],0)</f>
        <v>0.15151515151515152</v>
      </c>
      <c r="Q316" s="10">
        <f>IFERROR(Table1[[#This Row],[Gross Cost]]/Table1[[#This Row],[Total Conversions]],0)</f>
        <v>166.4523624</v>
      </c>
      <c r="R316" s="10">
        <f>IFERROR(Table1[[#This Row],[Gross Cost]]/(Table1[[#This Row],[Impressions]]/1000),0)</f>
        <v>119.54921886521427</v>
      </c>
      <c r="S316" s="5">
        <f>IFERROR(Table1[[#This Row],[Viewable Impressions]]/Table1[[#This Row],[Measurable Impressions]],0)</f>
        <v>0.60869297922045984</v>
      </c>
      <c r="T316" s="10">
        <f>IFERROR(1000*Table1[[#This Row],[Gross Cost]]/Table1[[#This Row],[Viewable Impressions]],0)</f>
        <v>252.17507686092316</v>
      </c>
      <c r="U316" s="10"/>
    </row>
    <row r="317" spans="1:21" x14ac:dyDescent="0.2">
      <c r="A317" t="s">
        <v>476</v>
      </c>
      <c r="B317" t="s">
        <v>21</v>
      </c>
      <c r="C317" t="s">
        <v>22</v>
      </c>
      <c r="D317" t="s">
        <v>54</v>
      </c>
      <c r="E317" t="str">
        <f>TRIM(RIGHT(Table1[[#This Row],[Location]],LEN(Table1[[#This Row],[Location]])-FIND(",",Table1[[#This Row],[Location]])))</f>
        <v>Florida</v>
      </c>
      <c r="F317" t="s">
        <v>477</v>
      </c>
      <c r="G317" t="s">
        <v>35</v>
      </c>
      <c r="H317" t="s">
        <v>26</v>
      </c>
      <c r="I317">
        <v>23941</v>
      </c>
      <c r="J317">
        <v>150</v>
      </c>
      <c r="K317">
        <v>13054</v>
      </c>
      <c r="L317">
        <v>22276</v>
      </c>
      <c r="M317">
        <v>6</v>
      </c>
      <c r="N317">
        <v>2856.1654250000001</v>
      </c>
      <c r="O317" s="7">
        <f>IFERROR(Table1[[#This Row],[Clicks]]/Table1[[#This Row],[Impressions]],0)</f>
        <v>6.2654024476838897E-3</v>
      </c>
      <c r="P317" s="5">
        <f>IFERROR(Table1[[#This Row],[Total Conversions]]/Table1[[#This Row],[Clicks]],0)</f>
        <v>0.04</v>
      </c>
      <c r="Q317" s="10">
        <f>IFERROR(Table1[[#This Row],[Gross Cost]]/Table1[[#This Row],[Total Conversions]],0)</f>
        <v>476.02757083333336</v>
      </c>
      <c r="R317" s="10">
        <f>IFERROR(Table1[[#This Row],[Gross Cost]]/(Table1[[#This Row],[Impressions]]/1000),0)</f>
        <v>119.30017229856732</v>
      </c>
      <c r="S317" s="5">
        <f>IFERROR(Table1[[#This Row],[Viewable Impressions]]/Table1[[#This Row],[Measurable Impressions]],0)</f>
        <v>0.58601185131980604</v>
      </c>
      <c r="T317" s="10">
        <f>IFERROR(1000*Table1[[#This Row],[Gross Cost]]/Table1[[#This Row],[Viewable Impressions]],0)</f>
        <v>218.79618699249275</v>
      </c>
      <c r="U317" s="10"/>
    </row>
    <row r="318" spans="1:21" x14ac:dyDescent="0.2">
      <c r="A318" t="s">
        <v>451</v>
      </c>
      <c r="B318" t="s">
        <v>21</v>
      </c>
      <c r="C318" t="s">
        <v>15</v>
      </c>
      <c r="D318" t="s">
        <v>54</v>
      </c>
      <c r="E318" t="str">
        <f>TRIM(RIGHT(Table1[[#This Row],[Location]],LEN(Table1[[#This Row],[Location]])-FIND(",",Table1[[#This Row],[Location]])))</f>
        <v>Florida</v>
      </c>
      <c r="F318" t="s">
        <v>450</v>
      </c>
      <c r="G318" t="s">
        <v>18</v>
      </c>
      <c r="H318" t="s">
        <v>26</v>
      </c>
      <c r="I318">
        <v>16580</v>
      </c>
      <c r="J318">
        <v>84</v>
      </c>
      <c r="K318">
        <v>11928</v>
      </c>
      <c r="L318">
        <v>14527</v>
      </c>
      <c r="M318">
        <v>6</v>
      </c>
      <c r="N318">
        <v>1965.7389470000001</v>
      </c>
      <c r="O318" s="7">
        <f>IFERROR(Table1[[#This Row],[Clicks]]/Table1[[#This Row],[Impressions]],0)</f>
        <v>5.066344993968637E-3</v>
      </c>
      <c r="P318" s="5">
        <f>IFERROR(Table1[[#This Row],[Total Conversions]]/Table1[[#This Row],[Clicks]],0)</f>
        <v>7.1428571428571425E-2</v>
      </c>
      <c r="Q318" s="10">
        <f>IFERROR(Table1[[#This Row],[Gross Cost]]/Table1[[#This Row],[Total Conversions]],0)</f>
        <v>327.62315783333332</v>
      </c>
      <c r="R318" s="10">
        <f>IFERROR(Table1[[#This Row],[Gross Cost]]/(Table1[[#This Row],[Impressions]]/1000),0)</f>
        <v>118.56085325693608</v>
      </c>
      <c r="S318" s="5">
        <f>IFERROR(Table1[[#This Row],[Viewable Impressions]]/Table1[[#This Row],[Measurable Impressions]],0)</f>
        <v>0.82109176017071661</v>
      </c>
      <c r="T318" s="10">
        <f>IFERROR(1000*Table1[[#This Row],[Gross Cost]]/Table1[[#This Row],[Viewable Impressions]],0)</f>
        <v>164.80038120389003</v>
      </c>
      <c r="U318" s="10"/>
    </row>
    <row r="319" spans="1:21" x14ac:dyDescent="0.2">
      <c r="A319" t="s">
        <v>820</v>
      </c>
      <c r="B319" t="s">
        <v>60</v>
      </c>
      <c r="C319" t="s">
        <v>22</v>
      </c>
      <c r="D319" t="s">
        <v>54</v>
      </c>
      <c r="E319" t="str">
        <f>TRIM(RIGHT(Table1[[#This Row],[Location]],LEN(Table1[[#This Row],[Location]])-FIND(",",Table1[[#This Row],[Location]])))</f>
        <v>Florida</v>
      </c>
      <c r="F319" t="s">
        <v>818</v>
      </c>
      <c r="G319" t="s">
        <v>25</v>
      </c>
      <c r="H319" t="s">
        <v>26</v>
      </c>
      <c r="I319">
        <v>46190</v>
      </c>
      <c r="J319">
        <v>130</v>
      </c>
      <c r="K319">
        <v>8618</v>
      </c>
      <c r="L319">
        <v>41618</v>
      </c>
      <c r="M319">
        <v>1</v>
      </c>
      <c r="N319">
        <v>5464.1098169999996</v>
      </c>
      <c r="O319" s="7">
        <f>IFERROR(Table1[[#This Row],[Clicks]]/Table1[[#This Row],[Impressions]],0)</f>
        <v>2.8144620047629355E-3</v>
      </c>
      <c r="P319" s="5">
        <f>IFERROR(Table1[[#This Row],[Total Conversions]]/Table1[[#This Row],[Clicks]],0)</f>
        <v>7.6923076923076927E-3</v>
      </c>
      <c r="Q319" s="10">
        <f>IFERROR(Table1[[#This Row],[Gross Cost]]/Table1[[#This Row],[Total Conversions]],0)</f>
        <v>5464.1098169999996</v>
      </c>
      <c r="R319" s="10">
        <f>IFERROR(Table1[[#This Row],[Gross Cost]]/(Table1[[#This Row],[Impressions]]/1000),0)</f>
        <v>118.29638053691275</v>
      </c>
      <c r="S319" s="5">
        <f>IFERROR(Table1[[#This Row],[Viewable Impressions]]/Table1[[#This Row],[Measurable Impressions]],0)</f>
        <v>0.20707386227113267</v>
      </c>
      <c r="T319" s="10">
        <f>IFERROR(1000*Table1[[#This Row],[Gross Cost]]/Table1[[#This Row],[Viewable Impressions]],0)</f>
        <v>634.0345575539568</v>
      </c>
      <c r="U319" s="10"/>
    </row>
    <row r="320" spans="1:21" x14ac:dyDescent="0.2">
      <c r="A320" t="s">
        <v>955</v>
      </c>
      <c r="B320" t="s">
        <v>14</v>
      </c>
      <c r="C320" t="s">
        <v>15</v>
      </c>
      <c r="D320" t="s">
        <v>34</v>
      </c>
      <c r="E320" t="str">
        <f>TRIM(RIGHT(Table1[[#This Row],[Location]],LEN(Table1[[#This Row],[Location]])-FIND(",",Table1[[#This Row],[Location]])))</f>
        <v>Illinois</v>
      </c>
      <c r="F320" t="s">
        <v>918</v>
      </c>
      <c r="G320" t="s">
        <v>183</v>
      </c>
      <c r="H320" t="s">
        <v>26</v>
      </c>
      <c r="I320">
        <v>12280</v>
      </c>
      <c r="J320">
        <v>90</v>
      </c>
      <c r="K320">
        <v>7633</v>
      </c>
      <c r="L320">
        <v>11053</v>
      </c>
      <c r="M320">
        <v>5</v>
      </c>
      <c r="N320">
        <v>1452.207361</v>
      </c>
      <c r="O320" s="7">
        <f>IFERROR(Table1[[#This Row],[Clicks]]/Table1[[#This Row],[Impressions]],0)</f>
        <v>7.3289902280130291E-3</v>
      </c>
      <c r="P320" s="5">
        <f>IFERROR(Table1[[#This Row],[Total Conversions]]/Table1[[#This Row],[Clicks]],0)</f>
        <v>5.5555555555555552E-2</v>
      </c>
      <c r="Q320" s="10">
        <f>IFERROR(Table1[[#This Row],[Gross Cost]]/Table1[[#This Row],[Total Conversions]],0)</f>
        <v>290.44147220000002</v>
      </c>
      <c r="R320" s="10">
        <f>IFERROR(Table1[[#This Row],[Gross Cost]]/(Table1[[#This Row],[Impressions]]/1000),0)</f>
        <v>118.25792842019544</v>
      </c>
      <c r="S320" s="5">
        <f>IFERROR(Table1[[#This Row],[Viewable Impressions]]/Table1[[#This Row],[Measurable Impressions]],0)</f>
        <v>0.69058174251334481</v>
      </c>
      <c r="T320" s="10">
        <f>IFERROR(1000*Table1[[#This Row],[Gross Cost]]/Table1[[#This Row],[Viewable Impressions]],0)</f>
        <v>190.25381383466527</v>
      </c>
      <c r="U320" s="10"/>
    </row>
    <row r="321" spans="1:21" x14ac:dyDescent="0.2">
      <c r="A321" t="s">
        <v>493</v>
      </c>
      <c r="B321" t="s">
        <v>21</v>
      </c>
      <c r="C321" t="s">
        <v>22</v>
      </c>
      <c r="D321" t="s">
        <v>28</v>
      </c>
      <c r="E321" t="str">
        <f>TRIM(RIGHT(Table1[[#This Row],[Location]],LEN(Table1[[#This Row],[Location]])-FIND(",",Table1[[#This Row],[Location]])))</f>
        <v>California</v>
      </c>
      <c r="F321" t="s">
        <v>492</v>
      </c>
      <c r="G321" t="s">
        <v>18</v>
      </c>
      <c r="H321" t="s">
        <v>26</v>
      </c>
      <c r="I321">
        <v>48947</v>
      </c>
      <c r="J321">
        <v>230</v>
      </c>
      <c r="K321">
        <v>32089</v>
      </c>
      <c r="L321">
        <v>45597</v>
      </c>
      <c r="M321">
        <v>21</v>
      </c>
      <c r="N321">
        <v>5702.2902649999996</v>
      </c>
      <c r="O321" s="7">
        <f>IFERROR(Table1[[#This Row],[Clicks]]/Table1[[#This Row],[Impressions]],0)</f>
        <v>4.698960099699675E-3</v>
      </c>
      <c r="P321" s="5">
        <f>IFERROR(Table1[[#This Row],[Total Conversions]]/Table1[[#This Row],[Clicks]],0)</f>
        <v>9.1304347826086957E-2</v>
      </c>
      <c r="Q321" s="10">
        <f>IFERROR(Table1[[#This Row],[Gross Cost]]/Table1[[#This Row],[Total Conversions]],0)</f>
        <v>271.53763166666664</v>
      </c>
      <c r="R321" s="10">
        <f>IFERROR(Table1[[#This Row],[Gross Cost]]/(Table1[[#This Row],[Impressions]]/1000),0)</f>
        <v>116.49928013974298</v>
      </c>
      <c r="S321" s="5">
        <f>IFERROR(Table1[[#This Row],[Viewable Impressions]]/Table1[[#This Row],[Measurable Impressions]],0)</f>
        <v>0.70375243985349911</v>
      </c>
      <c r="T321" s="10">
        <f>IFERROR(1000*Table1[[#This Row],[Gross Cost]]/Table1[[#This Row],[Viewable Impressions]],0)</f>
        <v>177.70233615880829</v>
      </c>
      <c r="U321" s="10"/>
    </row>
    <row r="322" spans="1:21" x14ac:dyDescent="0.2">
      <c r="A322" t="s">
        <v>787</v>
      </c>
      <c r="B322" t="s">
        <v>14</v>
      </c>
      <c r="C322" t="s">
        <v>22</v>
      </c>
      <c r="D322" t="s">
        <v>31</v>
      </c>
      <c r="E322" t="str">
        <f>TRIM(RIGHT(Table1[[#This Row],[Location]],LEN(Table1[[#This Row],[Location]])-FIND(",",Table1[[#This Row],[Location]])))</f>
        <v>Michigan</v>
      </c>
      <c r="F322" t="s">
        <v>788</v>
      </c>
      <c r="G322" t="s">
        <v>45</v>
      </c>
      <c r="H322" t="s">
        <v>26</v>
      </c>
      <c r="I322">
        <v>13347</v>
      </c>
      <c r="J322">
        <v>80</v>
      </c>
      <c r="K322">
        <v>8357</v>
      </c>
      <c r="L322">
        <v>11461</v>
      </c>
      <c r="M322">
        <v>10</v>
      </c>
      <c r="N322">
        <v>1543.6614199999999</v>
      </c>
      <c r="O322" s="7">
        <f>IFERROR(Table1[[#This Row],[Clicks]]/Table1[[#This Row],[Impressions]],0)</f>
        <v>5.9938562972952723E-3</v>
      </c>
      <c r="P322" s="5">
        <f>IFERROR(Table1[[#This Row],[Total Conversions]]/Table1[[#This Row],[Clicks]],0)</f>
        <v>0.125</v>
      </c>
      <c r="Q322" s="10">
        <f>IFERROR(Table1[[#This Row],[Gross Cost]]/Table1[[#This Row],[Total Conversions]],0)</f>
        <v>154.366142</v>
      </c>
      <c r="R322" s="10">
        <f>IFERROR(Table1[[#This Row],[Gross Cost]]/(Table1[[#This Row],[Impressions]]/1000),0)</f>
        <v>115.65605903948453</v>
      </c>
      <c r="S322" s="5">
        <f>IFERROR(Table1[[#This Row],[Viewable Impressions]]/Table1[[#This Row],[Measurable Impressions]],0)</f>
        <v>0.7291684844254428</v>
      </c>
      <c r="T322" s="10">
        <f>IFERROR(1000*Table1[[#This Row],[Gross Cost]]/Table1[[#This Row],[Viewable Impressions]],0)</f>
        <v>184.71478042359698</v>
      </c>
      <c r="U322" s="10"/>
    </row>
    <row r="323" spans="1:21" x14ac:dyDescent="0.2">
      <c r="A323" t="s">
        <v>693</v>
      </c>
      <c r="B323" t="s">
        <v>14</v>
      </c>
      <c r="C323" t="s">
        <v>15</v>
      </c>
      <c r="D323" t="s">
        <v>34</v>
      </c>
      <c r="E323" t="str">
        <f>TRIM(RIGHT(Table1[[#This Row],[Location]],LEN(Table1[[#This Row],[Location]])-FIND(",",Table1[[#This Row],[Location]])))</f>
        <v>Illinois</v>
      </c>
      <c r="F323" t="s">
        <v>692</v>
      </c>
      <c r="G323" t="s">
        <v>35</v>
      </c>
      <c r="H323" t="s">
        <v>26</v>
      </c>
      <c r="I323">
        <v>14932</v>
      </c>
      <c r="J323">
        <v>90</v>
      </c>
      <c r="K323">
        <v>8947</v>
      </c>
      <c r="L323">
        <v>14256</v>
      </c>
      <c r="M323">
        <v>3</v>
      </c>
      <c r="N323">
        <v>1724.417704</v>
      </c>
      <c r="O323" s="7">
        <f>IFERROR(Table1[[#This Row],[Clicks]]/Table1[[#This Row],[Impressions]],0)</f>
        <v>6.0273238682025179E-3</v>
      </c>
      <c r="P323" s="5">
        <f>IFERROR(Table1[[#This Row],[Total Conversions]]/Table1[[#This Row],[Clicks]],0)</f>
        <v>3.3333333333333333E-2</v>
      </c>
      <c r="Q323" s="10">
        <f>IFERROR(Table1[[#This Row],[Gross Cost]]/Table1[[#This Row],[Total Conversions]],0)</f>
        <v>574.80590133333328</v>
      </c>
      <c r="R323" s="10">
        <f>IFERROR(Table1[[#This Row],[Gross Cost]]/(Table1[[#This Row],[Impressions]]/1000),0)</f>
        <v>115.48471095633538</v>
      </c>
      <c r="S323" s="5">
        <f>IFERROR(Table1[[#This Row],[Viewable Impressions]]/Table1[[#This Row],[Measurable Impressions]],0)</f>
        <v>0.6275953984287318</v>
      </c>
      <c r="T323" s="10">
        <f>IFERROR(1000*Table1[[#This Row],[Gross Cost]]/Table1[[#This Row],[Viewable Impressions]],0)</f>
        <v>192.73697373421257</v>
      </c>
      <c r="U323" s="10"/>
    </row>
    <row r="324" spans="1:21" x14ac:dyDescent="0.2">
      <c r="A324" t="s">
        <v>874</v>
      </c>
      <c r="B324" t="s">
        <v>14</v>
      </c>
      <c r="C324" t="s">
        <v>41</v>
      </c>
      <c r="D324" t="s">
        <v>34</v>
      </c>
      <c r="E324" t="str">
        <f>TRIM(RIGHT(Table1[[#This Row],[Location]],LEN(Table1[[#This Row],[Location]])-FIND(",",Table1[[#This Row],[Location]])))</f>
        <v>Illinois</v>
      </c>
      <c r="F324" t="s">
        <v>872</v>
      </c>
      <c r="G324" t="s">
        <v>116</v>
      </c>
      <c r="H324" t="s">
        <v>19</v>
      </c>
      <c r="I324">
        <v>48707</v>
      </c>
      <c r="J324">
        <v>185</v>
      </c>
      <c r="K324">
        <v>25182</v>
      </c>
      <c r="L324">
        <v>44696</v>
      </c>
      <c r="M324">
        <v>13</v>
      </c>
      <c r="N324">
        <v>5600.3556429999999</v>
      </c>
      <c r="O324" s="7">
        <f>IFERROR(Table1[[#This Row],[Clicks]]/Table1[[#This Row],[Impressions]],0)</f>
        <v>3.7982220214753527E-3</v>
      </c>
      <c r="P324" s="5">
        <f>IFERROR(Table1[[#This Row],[Total Conversions]]/Table1[[#This Row],[Clicks]],0)</f>
        <v>7.0270270270270274E-2</v>
      </c>
      <c r="Q324" s="10">
        <f>IFERROR(Table1[[#This Row],[Gross Cost]]/Table1[[#This Row],[Total Conversions]],0)</f>
        <v>430.79658792307691</v>
      </c>
      <c r="R324" s="10">
        <f>IFERROR(Table1[[#This Row],[Gross Cost]]/(Table1[[#This Row],[Impressions]]/1000),0)</f>
        <v>114.98050881803437</v>
      </c>
      <c r="S324" s="5">
        <f>IFERROR(Table1[[#This Row],[Viewable Impressions]]/Table1[[#This Row],[Measurable Impressions]],0)</f>
        <v>0.56340612135314128</v>
      </c>
      <c r="T324" s="10">
        <f>IFERROR(1000*Table1[[#This Row],[Gross Cost]]/Table1[[#This Row],[Viewable Impressions]],0)</f>
        <v>222.39518874592963</v>
      </c>
      <c r="U324" s="10"/>
    </row>
    <row r="325" spans="1:21" x14ac:dyDescent="0.2">
      <c r="A325" t="s">
        <v>512</v>
      </c>
      <c r="B325" t="s">
        <v>14</v>
      </c>
      <c r="C325" t="s">
        <v>22</v>
      </c>
      <c r="D325" t="s">
        <v>44</v>
      </c>
      <c r="E325" t="str">
        <f>TRIM(RIGHT(Table1[[#This Row],[Location]],LEN(Table1[[#This Row],[Location]])-FIND(",",Table1[[#This Row],[Location]])))</f>
        <v>Florida</v>
      </c>
      <c r="F325" t="s">
        <v>510</v>
      </c>
      <c r="G325" t="s">
        <v>190</v>
      </c>
      <c r="H325" t="s">
        <v>51</v>
      </c>
      <c r="I325">
        <v>15904</v>
      </c>
      <c r="J325">
        <v>190</v>
      </c>
      <c r="K325">
        <v>7523</v>
      </c>
      <c r="L325">
        <v>14815</v>
      </c>
      <c r="M325">
        <v>2</v>
      </c>
      <c r="N325">
        <v>1825.7257079999999</v>
      </c>
      <c r="O325" s="7">
        <f>IFERROR(Table1[[#This Row],[Clicks]]/Table1[[#This Row],[Impressions]],0)</f>
        <v>1.1946680080482898E-2</v>
      </c>
      <c r="P325" s="5">
        <f>IFERROR(Table1[[#This Row],[Total Conversions]]/Table1[[#This Row],[Clicks]],0)</f>
        <v>1.0526315789473684E-2</v>
      </c>
      <c r="Q325" s="10">
        <f>IFERROR(Table1[[#This Row],[Gross Cost]]/Table1[[#This Row],[Total Conversions]],0)</f>
        <v>912.86285399999997</v>
      </c>
      <c r="R325" s="10">
        <f>IFERROR(Table1[[#This Row],[Gross Cost]]/(Table1[[#This Row],[Impressions]]/1000),0)</f>
        <v>114.79663656941649</v>
      </c>
      <c r="S325" s="5">
        <f>IFERROR(Table1[[#This Row],[Viewable Impressions]]/Table1[[#This Row],[Measurable Impressions]],0)</f>
        <v>0.50779615254809318</v>
      </c>
      <c r="T325" s="10">
        <f>IFERROR(1000*Table1[[#This Row],[Gross Cost]]/Table1[[#This Row],[Viewable Impressions]],0)</f>
        <v>242.68585776950684</v>
      </c>
      <c r="U325" s="10"/>
    </row>
    <row r="326" spans="1:21" x14ac:dyDescent="0.2">
      <c r="A326" t="s">
        <v>226</v>
      </c>
      <c r="B326" t="s">
        <v>21</v>
      </c>
      <c r="C326" t="s">
        <v>22</v>
      </c>
      <c r="D326" t="s">
        <v>28</v>
      </c>
      <c r="E326" t="str">
        <f>TRIM(RIGHT(Table1[[#This Row],[Location]],LEN(Table1[[#This Row],[Location]])-FIND(",",Table1[[#This Row],[Location]])))</f>
        <v>California</v>
      </c>
      <c r="F326" t="s">
        <v>227</v>
      </c>
      <c r="G326" t="s">
        <v>18</v>
      </c>
      <c r="H326" t="s">
        <v>26</v>
      </c>
      <c r="I326">
        <v>29107</v>
      </c>
      <c r="J326">
        <v>64</v>
      </c>
      <c r="K326">
        <v>4047</v>
      </c>
      <c r="L326">
        <v>27357</v>
      </c>
      <c r="M326">
        <v>9</v>
      </c>
      <c r="N326">
        <v>3339.454322</v>
      </c>
      <c r="O326" s="7">
        <f>IFERROR(Table1[[#This Row],[Clicks]]/Table1[[#This Row],[Impressions]],0)</f>
        <v>2.1987837977118906E-3</v>
      </c>
      <c r="P326" s="5">
        <f>IFERROR(Table1[[#This Row],[Total Conversions]]/Table1[[#This Row],[Clicks]],0)</f>
        <v>0.140625</v>
      </c>
      <c r="Q326" s="10">
        <f>IFERROR(Table1[[#This Row],[Gross Cost]]/Table1[[#This Row],[Total Conversions]],0)</f>
        <v>371.05048022222223</v>
      </c>
      <c r="R326" s="10">
        <f>IFERROR(Table1[[#This Row],[Gross Cost]]/(Table1[[#This Row],[Impressions]]/1000),0)</f>
        <v>114.73028213144605</v>
      </c>
      <c r="S326" s="5">
        <f>IFERROR(Table1[[#This Row],[Viewable Impressions]]/Table1[[#This Row],[Measurable Impressions]],0)</f>
        <v>0.14793288737800198</v>
      </c>
      <c r="T326" s="10">
        <f>IFERROR(1000*Table1[[#This Row],[Gross Cost]]/Table1[[#This Row],[Viewable Impressions]],0)</f>
        <v>825.16785816654317</v>
      </c>
      <c r="U326" s="10"/>
    </row>
    <row r="327" spans="1:21" x14ac:dyDescent="0.2">
      <c r="A327" t="s">
        <v>876</v>
      </c>
      <c r="B327" t="s">
        <v>14</v>
      </c>
      <c r="C327" t="s">
        <v>15</v>
      </c>
      <c r="D327" t="s">
        <v>54</v>
      </c>
      <c r="E327" t="str">
        <f>TRIM(RIGHT(Table1[[#This Row],[Location]],LEN(Table1[[#This Row],[Location]])-FIND(",",Table1[[#This Row],[Location]])))</f>
        <v>Florida</v>
      </c>
      <c r="F327" t="s">
        <v>872</v>
      </c>
      <c r="G327" t="s">
        <v>18</v>
      </c>
      <c r="H327" t="s">
        <v>26</v>
      </c>
      <c r="I327">
        <v>14799</v>
      </c>
      <c r="J327">
        <v>59</v>
      </c>
      <c r="K327">
        <v>1403</v>
      </c>
      <c r="L327">
        <v>13410</v>
      </c>
      <c r="M327">
        <v>9</v>
      </c>
      <c r="N327">
        <v>1693.7604349999999</v>
      </c>
      <c r="O327" s="7">
        <f>IFERROR(Table1[[#This Row],[Clicks]]/Table1[[#This Row],[Impressions]],0)</f>
        <v>3.9867558618825599E-3</v>
      </c>
      <c r="P327" s="5">
        <f>IFERROR(Table1[[#This Row],[Total Conversions]]/Table1[[#This Row],[Clicks]],0)</f>
        <v>0.15254237288135594</v>
      </c>
      <c r="Q327" s="10">
        <f>IFERROR(Table1[[#This Row],[Gross Cost]]/Table1[[#This Row],[Total Conversions]],0)</f>
        <v>188.19560388888888</v>
      </c>
      <c r="R327" s="10">
        <f>IFERROR(Table1[[#This Row],[Gross Cost]]/(Table1[[#This Row],[Impressions]]/1000),0)</f>
        <v>114.45100581120346</v>
      </c>
      <c r="S327" s="5">
        <f>IFERROR(Table1[[#This Row],[Viewable Impressions]]/Table1[[#This Row],[Measurable Impressions]],0)</f>
        <v>0.1046234153616704</v>
      </c>
      <c r="T327" s="10">
        <f>IFERROR(1000*Table1[[#This Row],[Gross Cost]]/Table1[[#This Row],[Viewable Impressions]],0)</f>
        <v>1207.2419351389879</v>
      </c>
      <c r="U327" s="10"/>
    </row>
    <row r="328" spans="1:21" x14ac:dyDescent="0.2">
      <c r="A328" t="s">
        <v>681</v>
      </c>
      <c r="B328" t="s">
        <v>21</v>
      </c>
      <c r="C328" t="s">
        <v>30</v>
      </c>
      <c r="D328" t="s">
        <v>16</v>
      </c>
      <c r="E328" t="str">
        <f>TRIM(RIGHT(Table1[[#This Row],[Location]],LEN(Table1[[#This Row],[Location]])-FIND(",",Table1[[#This Row],[Location]])))</f>
        <v>California</v>
      </c>
      <c r="F328" t="s">
        <v>680</v>
      </c>
      <c r="G328" t="s">
        <v>135</v>
      </c>
      <c r="H328" t="s">
        <v>26</v>
      </c>
      <c r="I328">
        <v>13592</v>
      </c>
      <c r="J328">
        <v>85</v>
      </c>
      <c r="K328">
        <v>7747</v>
      </c>
      <c r="L328">
        <v>10690</v>
      </c>
      <c r="M328">
        <v>1</v>
      </c>
      <c r="N328">
        <v>1555.1120780000001</v>
      </c>
      <c r="O328" s="7">
        <f>IFERROR(Table1[[#This Row],[Clicks]]/Table1[[#This Row],[Impressions]],0)</f>
        <v>6.2536786344908769E-3</v>
      </c>
      <c r="P328" s="5">
        <f>IFERROR(Table1[[#This Row],[Total Conversions]]/Table1[[#This Row],[Clicks]],0)</f>
        <v>1.1764705882352941E-2</v>
      </c>
      <c r="Q328" s="10">
        <f>IFERROR(Table1[[#This Row],[Gross Cost]]/Table1[[#This Row],[Total Conversions]],0)</f>
        <v>1555.1120780000001</v>
      </c>
      <c r="R328" s="10">
        <f>IFERROR(Table1[[#This Row],[Gross Cost]]/(Table1[[#This Row],[Impressions]]/1000),0)</f>
        <v>114.41377854620366</v>
      </c>
      <c r="S328" s="5">
        <f>IFERROR(Table1[[#This Row],[Viewable Impressions]]/Table1[[#This Row],[Measurable Impressions]],0)</f>
        <v>0.7246959775491113</v>
      </c>
      <c r="T328" s="10">
        <f>IFERROR(1000*Table1[[#This Row],[Gross Cost]]/Table1[[#This Row],[Viewable Impressions]],0)</f>
        <v>200.73732773977025</v>
      </c>
      <c r="U328" s="10"/>
    </row>
    <row r="329" spans="1:21" x14ac:dyDescent="0.2">
      <c r="A329" t="s">
        <v>782</v>
      </c>
      <c r="B329" t="s">
        <v>14</v>
      </c>
      <c r="C329" t="s">
        <v>30</v>
      </c>
      <c r="D329" t="s">
        <v>77</v>
      </c>
      <c r="E329" t="str">
        <f>TRIM(RIGHT(Table1[[#This Row],[Location]],LEN(Table1[[#This Row],[Location]])-FIND(",",Table1[[#This Row],[Location]])))</f>
        <v>New York</v>
      </c>
      <c r="F329" t="s">
        <v>780</v>
      </c>
      <c r="G329" t="s">
        <v>18</v>
      </c>
      <c r="H329" t="s">
        <v>51</v>
      </c>
      <c r="I329">
        <v>33650</v>
      </c>
      <c r="J329">
        <v>100</v>
      </c>
      <c r="K329">
        <v>15621</v>
      </c>
      <c r="L329">
        <v>32539</v>
      </c>
      <c r="M329">
        <v>9</v>
      </c>
      <c r="N329">
        <v>3844.9911649999999</v>
      </c>
      <c r="O329" s="7">
        <f>IFERROR(Table1[[#This Row],[Clicks]]/Table1[[#This Row],[Impressions]],0)</f>
        <v>2.9717682020802376E-3</v>
      </c>
      <c r="P329" s="5">
        <f>IFERROR(Table1[[#This Row],[Total Conversions]]/Table1[[#This Row],[Clicks]],0)</f>
        <v>0.09</v>
      </c>
      <c r="Q329" s="10">
        <f>IFERROR(Table1[[#This Row],[Gross Cost]]/Table1[[#This Row],[Total Conversions]],0)</f>
        <v>427.22124055555554</v>
      </c>
      <c r="R329" s="10">
        <f>IFERROR(Table1[[#This Row],[Gross Cost]]/(Table1[[#This Row],[Impressions]]/1000),0)</f>
        <v>114.26422481426449</v>
      </c>
      <c r="S329" s="5">
        <f>IFERROR(Table1[[#This Row],[Viewable Impressions]]/Table1[[#This Row],[Measurable Impressions]],0)</f>
        <v>0.48007006976243893</v>
      </c>
      <c r="T329" s="10">
        <f>IFERROR(1000*Table1[[#This Row],[Gross Cost]]/Table1[[#This Row],[Viewable Impressions]],0)</f>
        <v>246.14244702643876</v>
      </c>
      <c r="U329" s="10"/>
    </row>
    <row r="330" spans="1:21" x14ac:dyDescent="0.2">
      <c r="A330" t="s">
        <v>694</v>
      </c>
      <c r="B330" t="s">
        <v>14</v>
      </c>
      <c r="C330" t="s">
        <v>22</v>
      </c>
      <c r="D330" t="s">
        <v>23</v>
      </c>
      <c r="E330" t="str">
        <f>TRIM(RIGHT(Table1[[#This Row],[Location]],LEN(Table1[[#This Row],[Location]])-FIND(",",Table1[[#This Row],[Location]])))</f>
        <v>Florida</v>
      </c>
      <c r="F330" t="s">
        <v>695</v>
      </c>
      <c r="G330" t="s">
        <v>35</v>
      </c>
      <c r="H330" t="s">
        <v>26</v>
      </c>
      <c r="I330">
        <v>13823</v>
      </c>
      <c r="J330">
        <v>58</v>
      </c>
      <c r="K330">
        <v>10671</v>
      </c>
      <c r="L330">
        <v>12937</v>
      </c>
      <c r="M330">
        <v>3</v>
      </c>
      <c r="N330">
        <v>1574.709734</v>
      </c>
      <c r="O330" s="7">
        <f>IFERROR(Table1[[#This Row],[Clicks]]/Table1[[#This Row],[Impressions]],0)</f>
        <v>4.1959053750994721E-3</v>
      </c>
      <c r="P330" s="5">
        <f>IFERROR(Table1[[#This Row],[Total Conversions]]/Table1[[#This Row],[Clicks]],0)</f>
        <v>5.1724137931034482E-2</v>
      </c>
      <c r="Q330" s="10">
        <f>IFERROR(Table1[[#This Row],[Gross Cost]]/Table1[[#This Row],[Total Conversions]],0)</f>
        <v>524.90324466666664</v>
      </c>
      <c r="R330" s="10">
        <f>IFERROR(Table1[[#This Row],[Gross Cost]]/(Table1[[#This Row],[Impressions]]/1000),0)</f>
        <v>113.91953512262171</v>
      </c>
      <c r="S330" s="5">
        <f>IFERROR(Table1[[#This Row],[Viewable Impressions]]/Table1[[#This Row],[Measurable Impressions]],0)</f>
        <v>0.82484347221148646</v>
      </c>
      <c r="T330" s="10">
        <f>IFERROR(1000*Table1[[#This Row],[Gross Cost]]/Table1[[#This Row],[Viewable Impressions]],0)</f>
        <v>147.5690876206541</v>
      </c>
      <c r="U330" s="10"/>
    </row>
    <row r="331" spans="1:21" x14ac:dyDescent="0.2">
      <c r="A331" t="s">
        <v>878</v>
      </c>
      <c r="B331" t="s">
        <v>21</v>
      </c>
      <c r="C331" t="s">
        <v>22</v>
      </c>
      <c r="D331" t="s">
        <v>77</v>
      </c>
      <c r="E331" t="str">
        <f>TRIM(RIGHT(Table1[[#This Row],[Location]],LEN(Table1[[#This Row],[Location]])-FIND(",",Table1[[#This Row],[Location]])))</f>
        <v>New York</v>
      </c>
      <c r="F331" t="s">
        <v>879</v>
      </c>
      <c r="G331" t="s">
        <v>49</v>
      </c>
      <c r="H331" t="s">
        <v>26</v>
      </c>
      <c r="I331">
        <v>44361</v>
      </c>
      <c r="J331">
        <v>166</v>
      </c>
      <c r="K331">
        <v>36040</v>
      </c>
      <c r="L331">
        <v>40684</v>
      </c>
      <c r="M331">
        <v>17</v>
      </c>
      <c r="N331">
        <v>5048.8525529999997</v>
      </c>
      <c r="O331" s="7">
        <f>IFERROR(Table1[[#This Row],[Clicks]]/Table1[[#This Row],[Impressions]],0)</f>
        <v>3.7420256531638151E-3</v>
      </c>
      <c r="P331" s="5">
        <f>IFERROR(Table1[[#This Row],[Total Conversions]]/Table1[[#This Row],[Clicks]],0)</f>
        <v>0.10240963855421686</v>
      </c>
      <c r="Q331" s="10">
        <f>IFERROR(Table1[[#This Row],[Gross Cost]]/Table1[[#This Row],[Total Conversions]],0)</f>
        <v>296.99132664705883</v>
      </c>
      <c r="R331" s="10">
        <f>IFERROR(Table1[[#This Row],[Gross Cost]]/(Table1[[#This Row],[Impressions]]/1000),0)</f>
        <v>113.81286609860013</v>
      </c>
      <c r="S331" s="5">
        <f>IFERROR(Table1[[#This Row],[Viewable Impressions]]/Table1[[#This Row],[Measurable Impressions]],0)</f>
        <v>0.88585193196342538</v>
      </c>
      <c r="T331" s="10">
        <f>IFERROR(1000*Table1[[#This Row],[Gross Cost]]/Table1[[#This Row],[Viewable Impressions]],0)</f>
        <v>140.09024841842395</v>
      </c>
      <c r="U331" s="10"/>
    </row>
    <row r="332" spans="1:21" x14ac:dyDescent="0.2">
      <c r="A332" t="s">
        <v>896</v>
      </c>
      <c r="B332" t="s">
        <v>21</v>
      </c>
      <c r="C332" t="s">
        <v>30</v>
      </c>
      <c r="D332" t="s">
        <v>77</v>
      </c>
      <c r="E332" t="str">
        <f>TRIM(RIGHT(Table1[[#This Row],[Location]],LEN(Table1[[#This Row],[Location]])-FIND(",",Table1[[#This Row],[Location]])))</f>
        <v>New York</v>
      </c>
      <c r="F332" t="s">
        <v>897</v>
      </c>
      <c r="G332" t="s">
        <v>25</v>
      </c>
      <c r="H332" t="s">
        <v>26</v>
      </c>
      <c r="I332">
        <v>16137</v>
      </c>
      <c r="J332">
        <v>40</v>
      </c>
      <c r="K332">
        <v>7938</v>
      </c>
      <c r="L332">
        <v>14030</v>
      </c>
      <c r="M332">
        <v>4</v>
      </c>
      <c r="N332">
        <v>1835.048738</v>
      </c>
      <c r="O332" s="7">
        <f>IFERROR(Table1[[#This Row],[Clicks]]/Table1[[#This Row],[Impressions]],0)</f>
        <v>2.4787754849104541E-3</v>
      </c>
      <c r="P332" s="5">
        <f>IFERROR(Table1[[#This Row],[Total Conversions]]/Table1[[#This Row],[Clicks]],0)</f>
        <v>0.1</v>
      </c>
      <c r="Q332" s="10">
        <f>IFERROR(Table1[[#This Row],[Gross Cost]]/Table1[[#This Row],[Total Conversions]],0)</f>
        <v>458.76218449999999</v>
      </c>
      <c r="R332" s="10">
        <f>IFERROR(Table1[[#This Row],[Gross Cost]]/(Table1[[#This Row],[Impressions]]/1000),0)</f>
        <v>113.71684563425667</v>
      </c>
      <c r="S332" s="5">
        <f>IFERROR(Table1[[#This Row],[Viewable Impressions]]/Table1[[#This Row],[Measurable Impressions]],0)</f>
        <v>0.56578759800427658</v>
      </c>
      <c r="T332" s="10">
        <f>IFERROR(1000*Table1[[#This Row],[Gross Cost]]/Table1[[#This Row],[Viewable Impressions]],0)</f>
        <v>231.17268052406146</v>
      </c>
      <c r="U332" s="10"/>
    </row>
    <row r="333" spans="1:21" x14ac:dyDescent="0.2">
      <c r="A333" t="s">
        <v>861</v>
      </c>
      <c r="B333" t="s">
        <v>14</v>
      </c>
      <c r="C333" t="s">
        <v>30</v>
      </c>
      <c r="D333" t="s">
        <v>34</v>
      </c>
      <c r="E333" t="str">
        <f>TRIM(RIGHT(Table1[[#This Row],[Location]],LEN(Table1[[#This Row],[Location]])-FIND(",",Table1[[#This Row],[Location]])))</f>
        <v>Illinois</v>
      </c>
      <c r="F333" t="s">
        <v>862</v>
      </c>
      <c r="G333" t="s">
        <v>18</v>
      </c>
      <c r="H333" t="s">
        <v>26</v>
      </c>
      <c r="I333">
        <v>15547</v>
      </c>
      <c r="J333">
        <v>70</v>
      </c>
      <c r="K333">
        <v>7615</v>
      </c>
      <c r="L333">
        <v>14939</v>
      </c>
      <c r="M333">
        <v>3</v>
      </c>
      <c r="N333">
        <v>1767.4644559999999</v>
      </c>
      <c r="O333" s="7">
        <f>IFERROR(Table1[[#This Row],[Clicks]]/Table1[[#This Row],[Impressions]],0)</f>
        <v>4.5024763619990991E-3</v>
      </c>
      <c r="P333" s="5">
        <f>IFERROR(Table1[[#This Row],[Total Conversions]]/Table1[[#This Row],[Clicks]],0)</f>
        <v>4.2857142857142858E-2</v>
      </c>
      <c r="Q333" s="10">
        <f>IFERROR(Table1[[#This Row],[Gross Cost]]/Table1[[#This Row],[Total Conversions]],0)</f>
        <v>589.15481866666664</v>
      </c>
      <c r="R333" s="10">
        <f>IFERROR(Table1[[#This Row],[Gross Cost]]/(Table1[[#This Row],[Impressions]]/1000),0)</f>
        <v>113.68524191162281</v>
      </c>
      <c r="S333" s="5">
        <f>IFERROR(Table1[[#This Row],[Viewable Impressions]]/Table1[[#This Row],[Measurable Impressions]],0)</f>
        <v>0.50973960773813509</v>
      </c>
      <c r="T333" s="10">
        <f>IFERROR(1000*Table1[[#This Row],[Gross Cost]]/Table1[[#This Row],[Viewable Impressions]],0)</f>
        <v>232.10301457649376</v>
      </c>
      <c r="U333" s="10"/>
    </row>
    <row r="334" spans="1:21" x14ac:dyDescent="0.2">
      <c r="A334" t="s">
        <v>983</v>
      </c>
      <c r="B334" t="s">
        <v>21</v>
      </c>
      <c r="C334" t="s">
        <v>15</v>
      </c>
      <c r="D334" t="s">
        <v>83</v>
      </c>
      <c r="E334" t="str">
        <f>TRIM(RIGHT(Table1[[#This Row],[Location]],LEN(Table1[[#This Row],[Location]])-FIND(",",Table1[[#This Row],[Location]])))</f>
        <v>Florida</v>
      </c>
      <c r="F334" t="s">
        <v>984</v>
      </c>
      <c r="G334" t="s">
        <v>45</v>
      </c>
      <c r="H334" t="s">
        <v>26</v>
      </c>
      <c r="I334">
        <v>13466</v>
      </c>
      <c r="J334">
        <v>150</v>
      </c>
      <c r="K334">
        <v>8684</v>
      </c>
      <c r="L334">
        <v>11766</v>
      </c>
      <c r="M334">
        <v>1</v>
      </c>
      <c r="N334">
        <v>1527.1762739999999</v>
      </c>
      <c r="O334" s="7">
        <f>IFERROR(Table1[[#This Row],[Clicks]]/Table1[[#This Row],[Impressions]],0)</f>
        <v>1.1139165305213129E-2</v>
      </c>
      <c r="P334" s="5">
        <f>IFERROR(Table1[[#This Row],[Total Conversions]]/Table1[[#This Row],[Clicks]],0)</f>
        <v>6.6666666666666671E-3</v>
      </c>
      <c r="Q334" s="10">
        <f>IFERROR(Table1[[#This Row],[Gross Cost]]/Table1[[#This Row],[Total Conversions]],0)</f>
        <v>1527.1762739999999</v>
      </c>
      <c r="R334" s="10">
        <f>IFERROR(Table1[[#This Row],[Gross Cost]]/(Table1[[#This Row],[Impressions]]/1000),0)</f>
        <v>113.40979310856973</v>
      </c>
      <c r="S334" s="5">
        <f>IFERROR(Table1[[#This Row],[Viewable Impressions]]/Table1[[#This Row],[Measurable Impressions]],0)</f>
        <v>0.73805881353051161</v>
      </c>
      <c r="T334" s="10">
        <f>IFERROR(1000*Table1[[#This Row],[Gross Cost]]/Table1[[#This Row],[Viewable Impressions]],0)</f>
        <v>175.86092514970059</v>
      </c>
      <c r="U334" s="10"/>
    </row>
    <row r="335" spans="1:21" x14ac:dyDescent="0.2">
      <c r="A335" t="s">
        <v>576</v>
      </c>
      <c r="B335" t="s">
        <v>14</v>
      </c>
      <c r="C335" t="s">
        <v>30</v>
      </c>
      <c r="D335" t="s">
        <v>31</v>
      </c>
      <c r="E335" t="str">
        <f>TRIM(RIGHT(Table1[[#This Row],[Location]],LEN(Table1[[#This Row],[Location]])-FIND(",",Table1[[#This Row],[Location]])))</f>
        <v>Michigan</v>
      </c>
      <c r="F335" t="s">
        <v>577</v>
      </c>
      <c r="G335" t="s">
        <v>18</v>
      </c>
      <c r="H335" t="s">
        <v>26</v>
      </c>
      <c r="I335">
        <v>22444</v>
      </c>
      <c r="J335">
        <v>160</v>
      </c>
      <c r="K335">
        <v>12672</v>
      </c>
      <c r="L335">
        <v>21345</v>
      </c>
      <c r="M335">
        <v>5</v>
      </c>
      <c r="N335">
        <v>2539.2005629999999</v>
      </c>
      <c r="O335" s="7">
        <f>IFERROR(Table1[[#This Row],[Clicks]]/Table1[[#This Row],[Impressions]],0)</f>
        <v>7.1288540367135979E-3</v>
      </c>
      <c r="P335" s="5">
        <f>IFERROR(Table1[[#This Row],[Total Conversions]]/Table1[[#This Row],[Clicks]],0)</f>
        <v>3.125E-2</v>
      </c>
      <c r="Q335" s="10">
        <f>IFERROR(Table1[[#This Row],[Gross Cost]]/Table1[[#This Row],[Total Conversions]],0)</f>
        <v>507.8401126</v>
      </c>
      <c r="R335" s="10">
        <f>IFERROR(Table1[[#This Row],[Gross Cost]]/(Table1[[#This Row],[Impressions]]/1000),0)</f>
        <v>113.13493864729995</v>
      </c>
      <c r="S335" s="5">
        <f>IFERROR(Table1[[#This Row],[Viewable Impressions]]/Table1[[#This Row],[Measurable Impressions]],0)</f>
        <v>0.59367533380182713</v>
      </c>
      <c r="T335" s="10">
        <f>IFERROR(1000*Table1[[#This Row],[Gross Cost]]/Table1[[#This Row],[Viewable Impressions]],0)</f>
        <v>200.3788323074495</v>
      </c>
      <c r="U335" s="10"/>
    </row>
    <row r="336" spans="1:21" x14ac:dyDescent="0.2">
      <c r="A336" t="s">
        <v>525</v>
      </c>
      <c r="B336" t="s">
        <v>60</v>
      </c>
      <c r="C336" t="s">
        <v>41</v>
      </c>
      <c r="D336" t="s">
        <v>23</v>
      </c>
      <c r="E336" t="str">
        <f>TRIM(RIGHT(Table1[[#This Row],[Location]],LEN(Table1[[#This Row],[Location]])-FIND(",",Table1[[#This Row],[Location]])))</f>
        <v>Florida</v>
      </c>
      <c r="F336" t="s">
        <v>517</v>
      </c>
      <c r="G336" t="s">
        <v>18</v>
      </c>
      <c r="H336" t="s">
        <v>26</v>
      </c>
      <c r="I336">
        <v>39844</v>
      </c>
      <c r="J336">
        <v>101</v>
      </c>
      <c r="K336">
        <v>28001</v>
      </c>
      <c r="L336">
        <v>36335</v>
      </c>
      <c r="M336">
        <v>3</v>
      </c>
      <c r="N336">
        <v>4439.368082</v>
      </c>
      <c r="O336" s="7">
        <f>IFERROR(Table1[[#This Row],[Clicks]]/Table1[[#This Row],[Impressions]],0)</f>
        <v>2.5348860556169061E-3</v>
      </c>
      <c r="P336" s="5">
        <f>IFERROR(Table1[[#This Row],[Total Conversions]]/Table1[[#This Row],[Clicks]],0)</f>
        <v>2.9702970297029702E-2</v>
      </c>
      <c r="Q336" s="10">
        <f>IFERROR(Table1[[#This Row],[Gross Cost]]/Table1[[#This Row],[Total Conversions]],0)</f>
        <v>1479.7893606666667</v>
      </c>
      <c r="R336" s="10">
        <f>IFERROR(Table1[[#This Row],[Gross Cost]]/(Table1[[#This Row],[Impressions]]/1000),0)</f>
        <v>111.41873511695613</v>
      </c>
      <c r="S336" s="5">
        <f>IFERROR(Table1[[#This Row],[Viewable Impressions]]/Table1[[#This Row],[Measurable Impressions]],0)</f>
        <v>0.77063437456997386</v>
      </c>
      <c r="T336" s="10">
        <f>IFERROR(1000*Table1[[#This Row],[Gross Cost]]/Table1[[#This Row],[Viewable Impressions]],0)</f>
        <v>158.54319781436379</v>
      </c>
      <c r="U336" s="10"/>
    </row>
    <row r="337" spans="1:21" x14ac:dyDescent="0.2">
      <c r="A337" t="s">
        <v>801</v>
      </c>
      <c r="B337" t="s">
        <v>14</v>
      </c>
      <c r="C337" t="s">
        <v>22</v>
      </c>
      <c r="D337" t="s">
        <v>23</v>
      </c>
      <c r="E337" t="str">
        <f>TRIM(RIGHT(Table1[[#This Row],[Location]],LEN(Table1[[#This Row],[Location]])-FIND(",",Table1[[#This Row],[Location]])))</f>
        <v>Florida</v>
      </c>
      <c r="F337" t="s">
        <v>802</v>
      </c>
      <c r="G337" t="s">
        <v>47</v>
      </c>
      <c r="H337" t="s">
        <v>51</v>
      </c>
      <c r="I337">
        <v>16325</v>
      </c>
      <c r="J337">
        <v>78</v>
      </c>
      <c r="K337">
        <v>9558</v>
      </c>
      <c r="L337">
        <v>15426</v>
      </c>
      <c r="M337">
        <v>21</v>
      </c>
      <c r="N337">
        <v>1814.098581</v>
      </c>
      <c r="O337" s="7">
        <f>IFERROR(Table1[[#This Row],[Clicks]]/Table1[[#This Row],[Impressions]],0)</f>
        <v>4.7779479326186831E-3</v>
      </c>
      <c r="P337" s="5">
        <f>IFERROR(Table1[[#This Row],[Total Conversions]]/Table1[[#This Row],[Clicks]],0)</f>
        <v>0.26923076923076922</v>
      </c>
      <c r="Q337" s="10">
        <f>IFERROR(Table1[[#This Row],[Gross Cost]]/Table1[[#This Row],[Total Conversions]],0)</f>
        <v>86.385646714285713</v>
      </c>
      <c r="R337" s="10">
        <f>IFERROR(Table1[[#This Row],[Gross Cost]]/(Table1[[#This Row],[Impressions]]/1000),0)</f>
        <v>111.12395595712098</v>
      </c>
      <c r="S337" s="5">
        <f>IFERROR(Table1[[#This Row],[Viewable Impressions]]/Table1[[#This Row],[Measurable Impressions]],0)</f>
        <v>0.61960326721120185</v>
      </c>
      <c r="T337" s="10">
        <f>IFERROR(1000*Table1[[#This Row],[Gross Cost]]/Table1[[#This Row],[Viewable Impressions]],0)</f>
        <v>189.79897269303203</v>
      </c>
      <c r="U337" s="10"/>
    </row>
    <row r="338" spans="1:21" x14ac:dyDescent="0.2">
      <c r="A338" t="s">
        <v>427</v>
      </c>
      <c r="B338" t="s">
        <v>21</v>
      </c>
      <c r="C338" t="s">
        <v>30</v>
      </c>
      <c r="D338" t="s">
        <v>16</v>
      </c>
      <c r="E338" t="str">
        <f>TRIM(RIGHT(Table1[[#This Row],[Location]],LEN(Table1[[#This Row],[Location]])-FIND(",",Table1[[#This Row],[Location]])))</f>
        <v>California</v>
      </c>
      <c r="F338" t="s">
        <v>428</v>
      </c>
      <c r="G338" t="s">
        <v>45</v>
      </c>
      <c r="H338" t="s">
        <v>26</v>
      </c>
      <c r="I338">
        <v>13779</v>
      </c>
      <c r="J338">
        <v>96</v>
      </c>
      <c r="K338">
        <v>3482</v>
      </c>
      <c r="L338">
        <v>12487</v>
      </c>
      <c r="M338">
        <v>4</v>
      </c>
      <c r="N338">
        <v>1530.041892</v>
      </c>
      <c r="O338" s="7">
        <f>IFERROR(Table1[[#This Row],[Clicks]]/Table1[[#This Row],[Impressions]],0)</f>
        <v>6.9671238841715654E-3</v>
      </c>
      <c r="P338" s="5">
        <f>IFERROR(Table1[[#This Row],[Total Conversions]]/Table1[[#This Row],[Clicks]],0)</f>
        <v>4.1666666666666664E-2</v>
      </c>
      <c r="Q338" s="10">
        <f>IFERROR(Table1[[#This Row],[Gross Cost]]/Table1[[#This Row],[Total Conversions]],0)</f>
        <v>382.51047299999999</v>
      </c>
      <c r="R338" s="10">
        <f>IFERROR(Table1[[#This Row],[Gross Cost]]/(Table1[[#This Row],[Impressions]]/1000),0)</f>
        <v>111.04157718266927</v>
      </c>
      <c r="S338" s="5">
        <f>IFERROR(Table1[[#This Row],[Viewable Impressions]]/Table1[[#This Row],[Measurable Impressions]],0)</f>
        <v>0.27885000400416432</v>
      </c>
      <c r="T338" s="10">
        <f>IFERROR(1000*Table1[[#This Row],[Gross Cost]]/Table1[[#This Row],[Viewable Impressions]],0)</f>
        <v>439.41467317633544</v>
      </c>
      <c r="U338" s="10"/>
    </row>
    <row r="339" spans="1:21" x14ac:dyDescent="0.2">
      <c r="A339" t="s">
        <v>823</v>
      </c>
      <c r="B339" t="s">
        <v>21</v>
      </c>
      <c r="C339" t="s">
        <v>41</v>
      </c>
      <c r="D339" t="s">
        <v>34</v>
      </c>
      <c r="E339" t="str">
        <f>TRIM(RIGHT(Table1[[#This Row],[Location]],LEN(Table1[[#This Row],[Location]])-FIND(",",Table1[[#This Row],[Location]])))</f>
        <v>Illinois</v>
      </c>
      <c r="F339" t="s">
        <v>818</v>
      </c>
      <c r="G339" t="s">
        <v>18</v>
      </c>
      <c r="H339" t="s">
        <v>26</v>
      </c>
      <c r="I339">
        <v>19212</v>
      </c>
      <c r="J339">
        <v>54</v>
      </c>
      <c r="K339">
        <v>6872</v>
      </c>
      <c r="L339">
        <v>14248</v>
      </c>
      <c r="M339">
        <v>10</v>
      </c>
      <c r="N339">
        <v>2133.0771129999998</v>
      </c>
      <c r="O339" s="7">
        <f>IFERROR(Table1[[#This Row],[Clicks]]/Table1[[#This Row],[Impressions]],0)</f>
        <v>2.8107432854465957E-3</v>
      </c>
      <c r="P339" s="5">
        <f>IFERROR(Table1[[#This Row],[Total Conversions]]/Table1[[#This Row],[Clicks]],0)</f>
        <v>0.18518518518518517</v>
      </c>
      <c r="Q339" s="10">
        <f>IFERROR(Table1[[#This Row],[Gross Cost]]/Table1[[#This Row],[Total Conversions]],0)</f>
        <v>213.30771129999999</v>
      </c>
      <c r="R339" s="10">
        <f>IFERROR(Table1[[#This Row],[Gross Cost]]/(Table1[[#This Row],[Impressions]]/1000),0)</f>
        <v>111.02837356860294</v>
      </c>
      <c r="S339" s="5">
        <f>IFERROR(Table1[[#This Row],[Viewable Impressions]]/Table1[[#This Row],[Measurable Impressions]],0)</f>
        <v>0.48231330713082537</v>
      </c>
      <c r="T339" s="10">
        <f>IFERROR(1000*Table1[[#This Row],[Gross Cost]]/Table1[[#This Row],[Viewable Impressions]],0)</f>
        <v>310.40120969150172</v>
      </c>
      <c r="U339" s="10"/>
    </row>
    <row r="340" spans="1:21" x14ac:dyDescent="0.2">
      <c r="A340" t="s">
        <v>469</v>
      </c>
      <c r="B340" t="s">
        <v>14</v>
      </c>
      <c r="C340" t="s">
        <v>15</v>
      </c>
      <c r="D340" t="s">
        <v>470</v>
      </c>
      <c r="E340" t="str">
        <f>TRIM(RIGHT(Table1[[#This Row],[Location]],LEN(Table1[[#This Row],[Location]])-FIND(",",Table1[[#This Row],[Location]])))</f>
        <v>Florida</v>
      </c>
      <c r="F340" t="s">
        <v>468</v>
      </c>
      <c r="G340" t="s">
        <v>47</v>
      </c>
      <c r="H340" t="s">
        <v>26</v>
      </c>
      <c r="I340">
        <v>13833</v>
      </c>
      <c r="J340">
        <v>84</v>
      </c>
      <c r="K340">
        <v>7693</v>
      </c>
      <c r="L340">
        <v>13237</v>
      </c>
      <c r="M340">
        <v>6</v>
      </c>
      <c r="N340">
        <v>1526.7870660000001</v>
      </c>
      <c r="O340" s="7">
        <f>IFERROR(Table1[[#This Row],[Clicks]]/Table1[[#This Row],[Impressions]],0)</f>
        <v>6.072435480373021E-3</v>
      </c>
      <c r="P340" s="5">
        <f>IFERROR(Table1[[#This Row],[Total Conversions]]/Table1[[#This Row],[Clicks]],0)</f>
        <v>7.1428571428571425E-2</v>
      </c>
      <c r="Q340" s="10">
        <f>IFERROR(Table1[[#This Row],[Gross Cost]]/Table1[[#This Row],[Total Conversions]],0)</f>
        <v>254.46451100000002</v>
      </c>
      <c r="R340" s="10">
        <f>IFERROR(Table1[[#This Row],[Gross Cost]]/(Table1[[#This Row],[Impressions]]/1000),0)</f>
        <v>110.37280893515506</v>
      </c>
      <c r="S340" s="5">
        <f>IFERROR(Table1[[#This Row],[Viewable Impressions]]/Table1[[#This Row],[Measurable Impressions]],0)</f>
        <v>0.58117398202009518</v>
      </c>
      <c r="T340" s="10">
        <f>IFERROR(1000*Table1[[#This Row],[Gross Cost]]/Table1[[#This Row],[Viewable Impressions]],0)</f>
        <v>198.46445677888991</v>
      </c>
      <c r="U340" s="10"/>
    </row>
    <row r="341" spans="1:21" x14ac:dyDescent="0.2">
      <c r="A341" t="s">
        <v>531</v>
      </c>
      <c r="B341" t="s">
        <v>14</v>
      </c>
      <c r="C341" t="s">
        <v>15</v>
      </c>
      <c r="D341" t="s">
        <v>83</v>
      </c>
      <c r="E341" t="str">
        <f>TRIM(RIGHT(Table1[[#This Row],[Location]],LEN(Table1[[#This Row],[Location]])-FIND(",",Table1[[#This Row],[Location]])))</f>
        <v>Florida</v>
      </c>
      <c r="F341" t="s">
        <v>517</v>
      </c>
      <c r="G341" t="s">
        <v>116</v>
      </c>
      <c r="H341" t="s">
        <v>26</v>
      </c>
      <c r="I341">
        <v>15033</v>
      </c>
      <c r="J341">
        <v>76</v>
      </c>
      <c r="K341">
        <v>5495</v>
      </c>
      <c r="L341">
        <v>7050</v>
      </c>
      <c r="M341">
        <v>3</v>
      </c>
      <c r="N341">
        <v>1650.7230099999999</v>
      </c>
      <c r="O341" s="7">
        <f>IFERROR(Table1[[#This Row],[Clicks]]/Table1[[#This Row],[Impressions]],0)</f>
        <v>5.0555444688352288E-3</v>
      </c>
      <c r="P341" s="5">
        <f>IFERROR(Table1[[#This Row],[Total Conversions]]/Table1[[#This Row],[Clicks]],0)</f>
        <v>3.9473684210526314E-2</v>
      </c>
      <c r="Q341" s="10">
        <f>IFERROR(Table1[[#This Row],[Gross Cost]]/Table1[[#This Row],[Total Conversions]],0)</f>
        <v>550.24100333333331</v>
      </c>
      <c r="R341" s="10">
        <f>IFERROR(Table1[[#This Row],[Gross Cost]]/(Table1[[#This Row],[Impressions]]/1000),0)</f>
        <v>109.80662608927027</v>
      </c>
      <c r="S341" s="5">
        <f>IFERROR(Table1[[#This Row],[Viewable Impressions]]/Table1[[#This Row],[Measurable Impressions]],0)</f>
        <v>0.77943262411347514</v>
      </c>
      <c r="T341" s="10">
        <f>IFERROR(1000*Table1[[#This Row],[Gross Cost]]/Table1[[#This Row],[Viewable Impressions]],0)</f>
        <v>300.40455141037307</v>
      </c>
      <c r="U341" s="10"/>
    </row>
    <row r="342" spans="1:21" x14ac:dyDescent="0.2">
      <c r="A342" t="s">
        <v>334</v>
      </c>
      <c r="B342" t="s">
        <v>14</v>
      </c>
      <c r="C342" t="s">
        <v>41</v>
      </c>
      <c r="D342" t="s">
        <v>28</v>
      </c>
      <c r="E342" t="str">
        <f>TRIM(RIGHT(Table1[[#This Row],[Location]],LEN(Table1[[#This Row],[Location]])-FIND(",",Table1[[#This Row],[Location]])))</f>
        <v>California</v>
      </c>
      <c r="F342" t="s">
        <v>335</v>
      </c>
      <c r="G342" t="s">
        <v>18</v>
      </c>
      <c r="H342" t="s">
        <v>26</v>
      </c>
      <c r="I342">
        <v>13464</v>
      </c>
      <c r="J342">
        <v>84</v>
      </c>
      <c r="K342">
        <v>1698</v>
      </c>
      <c r="L342">
        <v>11234</v>
      </c>
      <c r="M342">
        <v>1</v>
      </c>
      <c r="N342">
        <v>1466.285104</v>
      </c>
      <c r="O342" s="7">
        <f>IFERROR(Table1[[#This Row],[Clicks]]/Table1[[#This Row],[Impressions]],0)</f>
        <v>6.2388591800356507E-3</v>
      </c>
      <c r="P342" s="5">
        <f>IFERROR(Table1[[#This Row],[Total Conversions]]/Table1[[#This Row],[Clicks]],0)</f>
        <v>1.1904761904761904E-2</v>
      </c>
      <c r="Q342" s="10">
        <f>IFERROR(Table1[[#This Row],[Gross Cost]]/Table1[[#This Row],[Total Conversions]],0)</f>
        <v>1466.285104</v>
      </c>
      <c r="R342" s="10">
        <f>IFERROR(Table1[[#This Row],[Gross Cost]]/(Table1[[#This Row],[Impressions]]/1000),0)</f>
        <v>108.90412240047534</v>
      </c>
      <c r="S342" s="5">
        <f>IFERROR(Table1[[#This Row],[Viewable Impressions]]/Table1[[#This Row],[Measurable Impressions]],0)</f>
        <v>0.15114829980416591</v>
      </c>
      <c r="T342" s="10">
        <f>IFERROR(1000*Table1[[#This Row],[Gross Cost]]/Table1[[#This Row],[Viewable Impressions]],0)</f>
        <v>863.53657479387516</v>
      </c>
      <c r="U342" s="10"/>
    </row>
    <row r="343" spans="1:21" x14ac:dyDescent="0.2">
      <c r="A343" t="s">
        <v>987</v>
      </c>
      <c r="B343" t="s">
        <v>21</v>
      </c>
      <c r="C343" t="s">
        <v>15</v>
      </c>
      <c r="D343" t="s">
        <v>31</v>
      </c>
      <c r="E343" t="str">
        <f>TRIM(RIGHT(Table1[[#This Row],[Location]],LEN(Table1[[#This Row],[Location]])-FIND(",",Table1[[#This Row],[Location]])))</f>
        <v>Michigan</v>
      </c>
      <c r="F343" t="s">
        <v>986</v>
      </c>
      <c r="G343" t="s">
        <v>47</v>
      </c>
      <c r="H343" t="s">
        <v>26</v>
      </c>
      <c r="I343">
        <v>13713</v>
      </c>
      <c r="J343">
        <v>151</v>
      </c>
      <c r="K343">
        <v>8339</v>
      </c>
      <c r="L343">
        <v>13051</v>
      </c>
      <c r="M343">
        <v>5</v>
      </c>
      <c r="N343">
        <v>1490.0061969999999</v>
      </c>
      <c r="O343" s="7">
        <f>IFERROR(Table1[[#This Row],[Clicks]]/Table1[[#This Row],[Impressions]],0)</f>
        <v>1.1011448990009481E-2</v>
      </c>
      <c r="P343" s="5">
        <f>IFERROR(Table1[[#This Row],[Total Conversions]]/Table1[[#This Row],[Clicks]],0)</f>
        <v>3.3112582781456956E-2</v>
      </c>
      <c r="Q343" s="10">
        <f>IFERROR(Table1[[#This Row],[Gross Cost]]/Table1[[#This Row],[Total Conversions]],0)</f>
        <v>298.00123939999997</v>
      </c>
      <c r="R343" s="10">
        <f>IFERROR(Table1[[#This Row],[Gross Cost]]/(Table1[[#This Row],[Impressions]]/1000),0)</f>
        <v>108.6564717421425</v>
      </c>
      <c r="S343" s="5">
        <f>IFERROR(Table1[[#This Row],[Viewable Impressions]]/Table1[[#This Row],[Measurable Impressions]],0)</f>
        <v>0.63895486935866985</v>
      </c>
      <c r="T343" s="10">
        <f>IFERROR(1000*Table1[[#This Row],[Gross Cost]]/Table1[[#This Row],[Viewable Impressions]],0)</f>
        <v>178.67924175560617</v>
      </c>
      <c r="U343" s="10"/>
    </row>
    <row r="344" spans="1:21" x14ac:dyDescent="0.2">
      <c r="A344" t="s">
        <v>329</v>
      </c>
      <c r="B344" t="s">
        <v>14</v>
      </c>
      <c r="C344" t="s">
        <v>22</v>
      </c>
      <c r="D344" t="s">
        <v>16</v>
      </c>
      <c r="E344" t="str">
        <f>TRIM(RIGHT(Table1[[#This Row],[Location]],LEN(Table1[[#This Row],[Location]])-FIND(",",Table1[[#This Row],[Location]])))</f>
        <v>California</v>
      </c>
      <c r="F344" t="s">
        <v>296</v>
      </c>
      <c r="G344" t="s">
        <v>25</v>
      </c>
      <c r="H344" t="s">
        <v>26</v>
      </c>
      <c r="I344">
        <v>13326</v>
      </c>
      <c r="J344">
        <v>98</v>
      </c>
      <c r="K344">
        <v>3568</v>
      </c>
      <c r="L344">
        <v>11388</v>
      </c>
      <c r="M344">
        <v>2</v>
      </c>
      <c r="N344">
        <v>1442.032183</v>
      </c>
      <c r="O344" s="7">
        <f>IFERROR(Table1[[#This Row],[Clicks]]/Table1[[#This Row],[Impressions]],0)</f>
        <v>7.3540447245985293E-3</v>
      </c>
      <c r="P344" s="5">
        <f>IFERROR(Table1[[#This Row],[Total Conversions]]/Table1[[#This Row],[Clicks]],0)</f>
        <v>2.0408163265306121E-2</v>
      </c>
      <c r="Q344" s="10">
        <f>IFERROR(Table1[[#This Row],[Gross Cost]]/Table1[[#This Row],[Total Conversions]],0)</f>
        <v>721.01609150000002</v>
      </c>
      <c r="R344" s="10">
        <f>IFERROR(Table1[[#This Row],[Gross Cost]]/(Table1[[#This Row],[Impressions]]/1000),0)</f>
        <v>108.21193028665766</v>
      </c>
      <c r="S344" s="5">
        <f>IFERROR(Table1[[#This Row],[Viewable Impressions]]/Table1[[#This Row],[Measurable Impressions]],0)</f>
        <v>0.31331225851773797</v>
      </c>
      <c r="T344" s="10">
        <f>IFERROR(1000*Table1[[#This Row],[Gross Cost]]/Table1[[#This Row],[Viewable Impressions]],0)</f>
        <v>404.1570019618834</v>
      </c>
      <c r="U344" s="10"/>
    </row>
    <row r="345" spans="1:21" x14ac:dyDescent="0.2">
      <c r="A345" t="s">
        <v>773</v>
      </c>
      <c r="B345" t="s">
        <v>14</v>
      </c>
      <c r="C345" t="s">
        <v>30</v>
      </c>
      <c r="D345" t="s">
        <v>77</v>
      </c>
      <c r="E345" t="str">
        <f>TRIM(RIGHT(Table1[[#This Row],[Location]],LEN(Table1[[#This Row],[Location]])-FIND(",",Table1[[#This Row],[Location]])))</f>
        <v>New York</v>
      </c>
      <c r="F345" t="s">
        <v>774</v>
      </c>
      <c r="G345" t="s">
        <v>49</v>
      </c>
      <c r="H345" t="s">
        <v>26</v>
      </c>
      <c r="I345">
        <v>13382</v>
      </c>
      <c r="J345">
        <v>68</v>
      </c>
      <c r="K345">
        <v>3340</v>
      </c>
      <c r="L345">
        <v>11662</v>
      </c>
      <c r="M345">
        <v>1</v>
      </c>
      <c r="N345">
        <v>1447.927193</v>
      </c>
      <c r="O345" s="7">
        <f>IFERROR(Table1[[#This Row],[Clicks]]/Table1[[#This Row],[Impressions]],0)</f>
        <v>5.0814526976535645E-3</v>
      </c>
      <c r="P345" s="5">
        <f>IFERROR(Table1[[#This Row],[Total Conversions]]/Table1[[#This Row],[Clicks]],0)</f>
        <v>1.4705882352941176E-2</v>
      </c>
      <c r="Q345" s="10">
        <f>IFERROR(Table1[[#This Row],[Gross Cost]]/Table1[[#This Row],[Total Conversions]],0)</f>
        <v>1447.927193</v>
      </c>
      <c r="R345" s="10">
        <f>IFERROR(Table1[[#This Row],[Gross Cost]]/(Table1[[#This Row],[Impressions]]/1000),0)</f>
        <v>108.1996108952324</v>
      </c>
      <c r="S345" s="5">
        <f>IFERROR(Table1[[#This Row],[Viewable Impressions]]/Table1[[#This Row],[Measurable Impressions]],0)</f>
        <v>0.2864002743954725</v>
      </c>
      <c r="T345" s="10">
        <f>IFERROR(1000*Table1[[#This Row],[Gross Cost]]/Table1[[#This Row],[Viewable Impressions]],0)</f>
        <v>433.51113562874252</v>
      </c>
      <c r="U345" s="10"/>
    </row>
    <row r="346" spans="1:21" x14ac:dyDescent="0.2">
      <c r="A346" t="s">
        <v>447</v>
      </c>
      <c r="B346" t="s">
        <v>21</v>
      </c>
      <c r="C346" t="s">
        <v>41</v>
      </c>
      <c r="D346" t="s">
        <v>77</v>
      </c>
      <c r="E346" t="str">
        <f>TRIM(RIGHT(Table1[[#This Row],[Location]],LEN(Table1[[#This Row],[Location]])-FIND(",",Table1[[#This Row],[Location]])))</f>
        <v>New York</v>
      </c>
      <c r="F346" t="s">
        <v>448</v>
      </c>
      <c r="G346" t="s">
        <v>183</v>
      </c>
      <c r="H346" t="s">
        <v>26</v>
      </c>
      <c r="I346">
        <v>13655</v>
      </c>
      <c r="J346">
        <v>66</v>
      </c>
      <c r="K346">
        <v>9519</v>
      </c>
      <c r="L346">
        <v>13041</v>
      </c>
      <c r="M346">
        <v>3</v>
      </c>
      <c r="N346">
        <v>1475.2451189999999</v>
      </c>
      <c r="O346" s="7">
        <f>IFERROR(Table1[[#This Row],[Clicks]]/Table1[[#This Row],[Impressions]],0)</f>
        <v>4.8333943610399119E-3</v>
      </c>
      <c r="P346" s="5">
        <f>IFERROR(Table1[[#This Row],[Total Conversions]]/Table1[[#This Row],[Clicks]],0)</f>
        <v>4.5454545454545456E-2</v>
      </c>
      <c r="Q346" s="10">
        <f>IFERROR(Table1[[#This Row],[Gross Cost]]/Table1[[#This Row],[Total Conversions]],0)</f>
        <v>491.74837299999996</v>
      </c>
      <c r="R346" s="10">
        <f>IFERROR(Table1[[#This Row],[Gross Cost]]/(Table1[[#This Row],[Impressions]]/1000),0)</f>
        <v>108.03699150494324</v>
      </c>
      <c r="S346" s="5">
        <f>IFERROR(Table1[[#This Row],[Viewable Impressions]]/Table1[[#This Row],[Measurable Impressions]],0)</f>
        <v>0.72992868645042563</v>
      </c>
      <c r="T346" s="10">
        <f>IFERROR(1000*Table1[[#This Row],[Gross Cost]]/Table1[[#This Row],[Viewable Impressions]],0)</f>
        <v>154.97900189095492</v>
      </c>
      <c r="U346" s="10"/>
    </row>
    <row r="347" spans="1:21" x14ac:dyDescent="0.2">
      <c r="A347" t="s">
        <v>105</v>
      </c>
      <c r="B347" t="s">
        <v>14</v>
      </c>
      <c r="C347" t="s">
        <v>22</v>
      </c>
      <c r="D347" t="s">
        <v>94</v>
      </c>
      <c r="E347" t="str">
        <f>TRIM(RIGHT(Table1[[#This Row],[Location]],LEN(Table1[[#This Row],[Location]])-FIND(",",Table1[[#This Row],[Location]])))</f>
        <v>Florida</v>
      </c>
      <c r="F347" t="s">
        <v>104</v>
      </c>
      <c r="G347" t="s">
        <v>18</v>
      </c>
      <c r="H347" t="s">
        <v>26</v>
      </c>
      <c r="I347">
        <v>53464</v>
      </c>
      <c r="J347">
        <v>212</v>
      </c>
      <c r="K347">
        <v>22151</v>
      </c>
      <c r="L347">
        <v>49058</v>
      </c>
      <c r="M347">
        <v>9</v>
      </c>
      <c r="N347">
        <v>5741.0980449999997</v>
      </c>
      <c r="O347" s="7">
        <f>IFERROR(Table1[[#This Row],[Clicks]]/Table1[[#This Row],[Impressions]],0)</f>
        <v>3.9652850516235221E-3</v>
      </c>
      <c r="P347" s="5">
        <f>IFERROR(Table1[[#This Row],[Total Conversions]]/Table1[[#This Row],[Clicks]],0)</f>
        <v>4.2452830188679243E-2</v>
      </c>
      <c r="Q347" s="10">
        <f>IFERROR(Table1[[#This Row],[Gross Cost]]/Table1[[#This Row],[Total Conversions]],0)</f>
        <v>637.89978277777777</v>
      </c>
      <c r="R347" s="10">
        <f>IFERROR(Table1[[#This Row],[Gross Cost]]/(Table1[[#This Row],[Impressions]]/1000),0)</f>
        <v>107.38250121577136</v>
      </c>
      <c r="S347" s="5">
        <f>IFERROR(Table1[[#This Row],[Viewable Impressions]]/Table1[[#This Row],[Measurable Impressions]],0)</f>
        <v>0.45152676423824861</v>
      </c>
      <c r="T347" s="10">
        <f>IFERROR(1000*Table1[[#This Row],[Gross Cost]]/Table1[[#This Row],[Viewable Impressions]],0)</f>
        <v>259.18008419484448</v>
      </c>
      <c r="U347" s="10"/>
    </row>
    <row r="348" spans="1:21" x14ac:dyDescent="0.2">
      <c r="A348" t="s">
        <v>410</v>
      </c>
      <c r="B348" t="s">
        <v>21</v>
      </c>
      <c r="C348" t="s">
        <v>15</v>
      </c>
      <c r="D348" t="s">
        <v>65</v>
      </c>
      <c r="E348" t="str">
        <f>TRIM(RIGHT(Table1[[#This Row],[Location]],LEN(Table1[[#This Row],[Location]])-FIND(",",Table1[[#This Row],[Location]])))</f>
        <v>Florida</v>
      </c>
      <c r="F348" t="s">
        <v>409</v>
      </c>
      <c r="G348" t="s">
        <v>45</v>
      </c>
      <c r="H348" t="s">
        <v>26</v>
      </c>
      <c r="I348">
        <v>63794</v>
      </c>
      <c r="J348">
        <v>200</v>
      </c>
      <c r="K348">
        <v>46557</v>
      </c>
      <c r="L348">
        <v>60868</v>
      </c>
      <c r="M348">
        <v>9</v>
      </c>
      <c r="N348">
        <v>6832.9400670000005</v>
      </c>
      <c r="O348" s="7">
        <f>IFERROR(Table1[[#This Row],[Clicks]]/Table1[[#This Row],[Impressions]],0)</f>
        <v>3.1350910743957114E-3</v>
      </c>
      <c r="P348" s="5">
        <f>IFERROR(Table1[[#This Row],[Total Conversions]]/Table1[[#This Row],[Clicks]],0)</f>
        <v>4.4999999999999998E-2</v>
      </c>
      <c r="Q348" s="10">
        <f>IFERROR(Table1[[#This Row],[Gross Cost]]/Table1[[#This Row],[Total Conversions]],0)</f>
        <v>759.21556300000009</v>
      </c>
      <c r="R348" s="10">
        <f>IFERROR(Table1[[#This Row],[Gross Cost]]/(Table1[[#This Row],[Impressions]]/1000),0)</f>
        <v>107.10944707966267</v>
      </c>
      <c r="S348" s="5">
        <f>IFERROR(Table1[[#This Row],[Viewable Impressions]]/Table1[[#This Row],[Measurable Impressions]],0)</f>
        <v>0.76488466846290337</v>
      </c>
      <c r="T348" s="10">
        <f>IFERROR(1000*Table1[[#This Row],[Gross Cost]]/Table1[[#This Row],[Viewable Impressions]],0)</f>
        <v>146.7650421418906</v>
      </c>
      <c r="U348" s="10"/>
    </row>
    <row r="349" spans="1:21" x14ac:dyDescent="0.2">
      <c r="A349" t="s">
        <v>458</v>
      </c>
      <c r="B349" t="s">
        <v>14</v>
      </c>
      <c r="C349" t="s">
        <v>41</v>
      </c>
      <c r="D349" t="s">
        <v>28</v>
      </c>
      <c r="E349" t="str">
        <f>TRIM(RIGHT(Table1[[#This Row],[Location]],LEN(Table1[[#This Row],[Location]])-FIND(",",Table1[[#This Row],[Location]])))</f>
        <v>California</v>
      </c>
      <c r="F349" t="s">
        <v>459</v>
      </c>
      <c r="G349" t="s">
        <v>18</v>
      </c>
      <c r="H349" t="s">
        <v>51</v>
      </c>
      <c r="I349">
        <v>27473</v>
      </c>
      <c r="J349">
        <v>69</v>
      </c>
      <c r="K349">
        <v>11306</v>
      </c>
      <c r="L349">
        <v>20625</v>
      </c>
      <c r="M349">
        <v>2</v>
      </c>
      <c r="N349">
        <v>2922.286102</v>
      </c>
      <c r="O349" s="7">
        <f>IFERROR(Table1[[#This Row],[Clicks]]/Table1[[#This Row],[Impressions]],0)</f>
        <v>2.5115568012230188E-3</v>
      </c>
      <c r="P349" s="5">
        <f>IFERROR(Table1[[#This Row],[Total Conversions]]/Table1[[#This Row],[Clicks]],0)</f>
        <v>2.8985507246376812E-2</v>
      </c>
      <c r="Q349" s="10">
        <f>IFERROR(Table1[[#This Row],[Gross Cost]]/Table1[[#This Row],[Total Conversions]],0)</f>
        <v>1461.143051</v>
      </c>
      <c r="R349" s="10">
        <f>IFERROR(Table1[[#This Row],[Gross Cost]]/(Table1[[#This Row],[Impressions]]/1000),0)</f>
        <v>106.36938455938558</v>
      </c>
      <c r="S349" s="5">
        <f>IFERROR(Table1[[#This Row],[Viewable Impressions]]/Table1[[#This Row],[Measurable Impressions]],0)</f>
        <v>0.54816969696969697</v>
      </c>
      <c r="T349" s="10">
        <f>IFERROR(1000*Table1[[#This Row],[Gross Cost]]/Table1[[#This Row],[Viewable Impressions]],0)</f>
        <v>258.47214770918094</v>
      </c>
      <c r="U349" s="10"/>
    </row>
    <row r="350" spans="1:21" x14ac:dyDescent="0.2">
      <c r="A350" t="s">
        <v>281</v>
      </c>
      <c r="B350" t="s">
        <v>21</v>
      </c>
      <c r="C350" t="s">
        <v>30</v>
      </c>
      <c r="D350" t="s">
        <v>31</v>
      </c>
      <c r="E350" t="str">
        <f>TRIM(RIGHT(Table1[[#This Row],[Location]],LEN(Table1[[#This Row],[Location]])-FIND(",",Table1[[#This Row],[Location]])))</f>
        <v>Michigan</v>
      </c>
      <c r="F350" t="s">
        <v>282</v>
      </c>
      <c r="G350" t="s">
        <v>45</v>
      </c>
      <c r="H350" t="s">
        <v>26</v>
      </c>
      <c r="I350">
        <v>14917</v>
      </c>
      <c r="J350">
        <v>10</v>
      </c>
      <c r="K350">
        <v>3065</v>
      </c>
      <c r="L350">
        <v>13109</v>
      </c>
      <c r="M350">
        <v>3</v>
      </c>
      <c r="N350">
        <v>1583.537104</v>
      </c>
      <c r="O350" s="7">
        <f>IFERROR(Table1[[#This Row],[Clicks]]/Table1[[#This Row],[Impressions]],0)</f>
        <v>6.7037608098143063E-4</v>
      </c>
      <c r="P350" s="5">
        <f>IFERROR(Table1[[#This Row],[Total Conversions]]/Table1[[#This Row],[Clicks]],0)</f>
        <v>0.3</v>
      </c>
      <c r="Q350" s="10">
        <f>IFERROR(Table1[[#This Row],[Gross Cost]]/Table1[[#This Row],[Total Conversions]],0)</f>
        <v>527.8457013333333</v>
      </c>
      <c r="R350" s="10">
        <f>IFERROR(Table1[[#This Row],[Gross Cost]]/(Table1[[#This Row],[Impressions]]/1000),0)</f>
        <v>106.1565397868204</v>
      </c>
      <c r="S350" s="5">
        <f>IFERROR(Table1[[#This Row],[Viewable Impressions]]/Table1[[#This Row],[Measurable Impressions]],0)</f>
        <v>0.2338088336257533</v>
      </c>
      <c r="T350" s="10">
        <f>IFERROR(1000*Table1[[#This Row],[Gross Cost]]/Table1[[#This Row],[Viewable Impressions]],0)</f>
        <v>516.65158368678635</v>
      </c>
      <c r="U350" s="10"/>
    </row>
    <row r="351" spans="1:21" x14ac:dyDescent="0.2">
      <c r="A351" t="s">
        <v>271</v>
      </c>
      <c r="B351" t="s">
        <v>14</v>
      </c>
      <c r="C351" t="s">
        <v>41</v>
      </c>
      <c r="D351" t="s">
        <v>272</v>
      </c>
      <c r="E351" t="str">
        <f>TRIM(RIGHT(Table1[[#This Row],[Location]],LEN(Table1[[#This Row],[Location]])-FIND(",",Table1[[#This Row],[Location]])))</f>
        <v>Indiana</v>
      </c>
      <c r="F351" t="s">
        <v>270</v>
      </c>
      <c r="G351" t="s">
        <v>25</v>
      </c>
      <c r="H351" t="s">
        <v>26</v>
      </c>
      <c r="I351">
        <v>14922</v>
      </c>
      <c r="J351">
        <v>99</v>
      </c>
      <c r="K351">
        <v>10713</v>
      </c>
      <c r="L351">
        <v>13992</v>
      </c>
      <c r="M351">
        <v>5</v>
      </c>
      <c r="N351">
        <v>1578.876432</v>
      </c>
      <c r="O351" s="7">
        <f>IFERROR(Table1[[#This Row],[Clicks]]/Table1[[#This Row],[Impressions]],0)</f>
        <v>6.6344993968636915E-3</v>
      </c>
      <c r="P351" s="5">
        <f>IFERROR(Table1[[#This Row],[Total Conversions]]/Table1[[#This Row],[Clicks]],0)</f>
        <v>5.0505050505050504E-2</v>
      </c>
      <c r="Q351" s="10">
        <f>IFERROR(Table1[[#This Row],[Gross Cost]]/Table1[[#This Row],[Total Conversions]],0)</f>
        <v>315.77528640000003</v>
      </c>
      <c r="R351" s="10">
        <f>IFERROR(Table1[[#This Row],[Gross Cost]]/(Table1[[#This Row],[Impressions]]/1000),0)</f>
        <v>105.80863369521512</v>
      </c>
      <c r="S351" s="5">
        <f>IFERROR(Table1[[#This Row],[Viewable Impressions]]/Table1[[#This Row],[Measurable Impressions]],0)</f>
        <v>0.76565180102915953</v>
      </c>
      <c r="T351" s="10">
        <f>IFERROR(1000*Table1[[#This Row],[Gross Cost]]/Table1[[#This Row],[Viewable Impressions]],0)</f>
        <v>147.37948585830298</v>
      </c>
      <c r="U351" s="10"/>
    </row>
    <row r="352" spans="1:21" x14ac:dyDescent="0.2">
      <c r="A352" t="s">
        <v>58</v>
      </c>
      <c r="B352" t="s">
        <v>21</v>
      </c>
      <c r="C352" t="s">
        <v>22</v>
      </c>
      <c r="D352" t="s">
        <v>31</v>
      </c>
      <c r="E352" t="str">
        <f>TRIM(RIGHT(Table1[[#This Row],[Location]],LEN(Table1[[#This Row],[Location]])-FIND(",",Table1[[#This Row],[Location]])))</f>
        <v>Michigan</v>
      </c>
      <c r="F352" t="s">
        <v>57</v>
      </c>
      <c r="G352" t="s">
        <v>35</v>
      </c>
      <c r="H352" t="s">
        <v>26</v>
      </c>
      <c r="I352">
        <v>16151</v>
      </c>
      <c r="J352">
        <v>54</v>
      </c>
      <c r="K352">
        <v>4360</v>
      </c>
      <c r="L352">
        <v>11358</v>
      </c>
      <c r="M352">
        <v>3</v>
      </c>
      <c r="N352">
        <v>1706.224318</v>
      </c>
      <c r="O352" s="7">
        <f>IFERROR(Table1[[#This Row],[Clicks]]/Table1[[#This Row],[Impressions]],0)</f>
        <v>3.3434462262398614E-3</v>
      </c>
      <c r="P352" s="5">
        <f>IFERROR(Table1[[#This Row],[Total Conversions]]/Table1[[#This Row],[Clicks]],0)</f>
        <v>5.5555555555555552E-2</v>
      </c>
      <c r="Q352" s="10">
        <f>IFERROR(Table1[[#This Row],[Gross Cost]]/Table1[[#This Row],[Total Conversions]],0)</f>
        <v>568.74143933333335</v>
      </c>
      <c r="R352" s="10">
        <f>IFERROR(Table1[[#This Row],[Gross Cost]]/(Table1[[#This Row],[Impressions]]/1000),0)</f>
        <v>105.64202328029225</v>
      </c>
      <c r="S352" s="5">
        <f>IFERROR(Table1[[#This Row],[Viewable Impressions]]/Table1[[#This Row],[Measurable Impressions]],0)</f>
        <v>0.38387039971826026</v>
      </c>
      <c r="T352" s="10">
        <f>IFERROR(1000*Table1[[#This Row],[Gross Cost]]/Table1[[#This Row],[Viewable Impressions]],0)</f>
        <v>391.33585275229359</v>
      </c>
      <c r="U352" s="10"/>
    </row>
    <row r="353" spans="1:21" x14ac:dyDescent="0.2">
      <c r="A353" t="s">
        <v>935</v>
      </c>
      <c r="B353" t="s">
        <v>21</v>
      </c>
      <c r="C353" t="s">
        <v>15</v>
      </c>
      <c r="D353" t="s">
        <v>34</v>
      </c>
      <c r="E353" t="str">
        <f>TRIM(RIGHT(Table1[[#This Row],[Location]],LEN(Table1[[#This Row],[Location]])-FIND(",",Table1[[#This Row],[Location]])))</f>
        <v>Illinois</v>
      </c>
      <c r="F353" t="s">
        <v>918</v>
      </c>
      <c r="G353" t="s">
        <v>18</v>
      </c>
      <c r="H353" t="s">
        <v>26</v>
      </c>
      <c r="I353">
        <v>43327</v>
      </c>
      <c r="J353">
        <v>140</v>
      </c>
      <c r="K353">
        <v>4689</v>
      </c>
      <c r="L353">
        <v>31363</v>
      </c>
      <c r="M353">
        <v>14</v>
      </c>
      <c r="N353">
        <v>4554.8768840000002</v>
      </c>
      <c r="O353" s="7">
        <f>IFERROR(Table1[[#This Row],[Clicks]]/Table1[[#This Row],[Impressions]],0)</f>
        <v>3.2312414891407207E-3</v>
      </c>
      <c r="P353" s="5">
        <f>IFERROR(Table1[[#This Row],[Total Conversions]]/Table1[[#This Row],[Clicks]],0)</f>
        <v>0.1</v>
      </c>
      <c r="Q353" s="10">
        <f>IFERROR(Table1[[#This Row],[Gross Cost]]/Table1[[#This Row],[Total Conversions]],0)</f>
        <v>325.34834885714287</v>
      </c>
      <c r="R353" s="10">
        <f>IFERROR(Table1[[#This Row],[Gross Cost]]/(Table1[[#This Row],[Impressions]]/1000),0)</f>
        <v>105.1279083250629</v>
      </c>
      <c r="S353" s="5">
        <f>IFERROR(Table1[[#This Row],[Viewable Impressions]]/Table1[[#This Row],[Measurable Impressions]],0)</f>
        <v>0.14950738130918598</v>
      </c>
      <c r="T353" s="10">
        <f>IFERROR(1000*Table1[[#This Row],[Gross Cost]]/Table1[[#This Row],[Viewable Impressions]],0)</f>
        <v>971.39622179569221</v>
      </c>
      <c r="U353" s="10"/>
    </row>
    <row r="354" spans="1:21" x14ac:dyDescent="0.2">
      <c r="A354" t="s">
        <v>400</v>
      </c>
      <c r="B354" t="s">
        <v>21</v>
      </c>
      <c r="C354" t="s">
        <v>30</v>
      </c>
      <c r="D354" t="s">
        <v>77</v>
      </c>
      <c r="E354" t="str">
        <f>TRIM(RIGHT(Table1[[#This Row],[Location]],LEN(Table1[[#This Row],[Location]])-FIND(",",Table1[[#This Row],[Location]])))</f>
        <v>New York</v>
      </c>
      <c r="F354" t="s">
        <v>389</v>
      </c>
      <c r="G354" t="s">
        <v>18</v>
      </c>
      <c r="H354" t="s">
        <v>26</v>
      </c>
      <c r="I354">
        <v>15441</v>
      </c>
      <c r="J354">
        <v>48</v>
      </c>
      <c r="K354">
        <v>7626</v>
      </c>
      <c r="L354">
        <v>14456</v>
      </c>
      <c r="M354">
        <v>19</v>
      </c>
      <c r="N354">
        <v>1614.309013</v>
      </c>
      <c r="O354" s="7">
        <f>IFERROR(Table1[[#This Row],[Clicks]]/Table1[[#This Row],[Impressions]],0)</f>
        <v>3.1086069555080632E-3</v>
      </c>
      <c r="P354" s="5">
        <f>IFERROR(Table1[[#This Row],[Total Conversions]]/Table1[[#This Row],[Clicks]],0)</f>
        <v>0.39583333333333331</v>
      </c>
      <c r="Q354" s="10">
        <f>IFERROR(Table1[[#This Row],[Gross Cost]]/Table1[[#This Row],[Total Conversions]],0)</f>
        <v>84.963632263157891</v>
      </c>
      <c r="R354" s="10">
        <f>IFERROR(Table1[[#This Row],[Gross Cost]]/(Table1[[#This Row],[Impressions]]/1000),0)</f>
        <v>104.54692137814908</v>
      </c>
      <c r="S354" s="5">
        <f>IFERROR(Table1[[#This Row],[Viewable Impressions]]/Table1[[#This Row],[Measurable Impressions]],0)</f>
        <v>0.52753182069728832</v>
      </c>
      <c r="T354" s="10">
        <f>IFERROR(1000*Table1[[#This Row],[Gross Cost]]/Table1[[#This Row],[Viewable Impressions]],0)</f>
        <v>211.68489548911617</v>
      </c>
      <c r="U354" s="10"/>
    </row>
    <row r="355" spans="1:21" x14ac:dyDescent="0.2">
      <c r="A355" t="s">
        <v>67</v>
      </c>
      <c r="B355" t="s">
        <v>14</v>
      </c>
      <c r="C355" t="s">
        <v>22</v>
      </c>
      <c r="D355" t="s">
        <v>31</v>
      </c>
      <c r="E355" t="str">
        <f>TRIM(RIGHT(Table1[[#This Row],[Location]],LEN(Table1[[#This Row],[Location]])-FIND(",",Table1[[#This Row],[Location]])))</f>
        <v>Michigan</v>
      </c>
      <c r="F355" t="s">
        <v>63</v>
      </c>
      <c r="G355" t="s">
        <v>35</v>
      </c>
      <c r="H355" t="s">
        <v>26</v>
      </c>
      <c r="I355">
        <v>14136</v>
      </c>
      <c r="J355">
        <v>88</v>
      </c>
      <c r="K355">
        <v>4683</v>
      </c>
      <c r="L355">
        <v>13273</v>
      </c>
      <c r="M355">
        <v>3</v>
      </c>
      <c r="N355">
        <v>1476.5368410000001</v>
      </c>
      <c r="O355" s="7">
        <f>IFERROR(Table1[[#This Row],[Clicks]]/Table1[[#This Row],[Impressions]],0)</f>
        <v>6.2252405206564797E-3</v>
      </c>
      <c r="P355" s="5">
        <f>IFERROR(Table1[[#This Row],[Total Conversions]]/Table1[[#This Row],[Clicks]],0)</f>
        <v>3.4090909090909088E-2</v>
      </c>
      <c r="Q355" s="10">
        <f>IFERROR(Table1[[#This Row],[Gross Cost]]/Table1[[#This Row],[Total Conversions]],0)</f>
        <v>492.17894700000005</v>
      </c>
      <c r="R355" s="10">
        <f>IFERROR(Table1[[#This Row],[Gross Cost]]/(Table1[[#This Row],[Impressions]]/1000),0)</f>
        <v>104.45223832767404</v>
      </c>
      <c r="S355" s="5">
        <f>IFERROR(Table1[[#This Row],[Viewable Impressions]]/Table1[[#This Row],[Measurable Impressions]],0)</f>
        <v>0.35282151736608153</v>
      </c>
      <c r="T355" s="10">
        <f>IFERROR(1000*Table1[[#This Row],[Gross Cost]]/Table1[[#This Row],[Viewable Impressions]],0)</f>
        <v>315.29721140294686</v>
      </c>
      <c r="U355" s="10"/>
    </row>
    <row r="356" spans="1:21" x14ac:dyDescent="0.2">
      <c r="A356" t="s">
        <v>178</v>
      </c>
      <c r="B356" t="s">
        <v>21</v>
      </c>
      <c r="C356" t="s">
        <v>30</v>
      </c>
      <c r="D356" t="s">
        <v>141</v>
      </c>
      <c r="E356" t="str">
        <f>TRIM(RIGHT(Table1[[#This Row],[Location]],LEN(Table1[[#This Row],[Location]])-FIND(",",Table1[[#This Row],[Location]])))</f>
        <v>Florida-Thomasville, Georgia</v>
      </c>
      <c r="F356" t="s">
        <v>177</v>
      </c>
      <c r="G356" t="s">
        <v>116</v>
      </c>
      <c r="H356" t="s">
        <v>26</v>
      </c>
      <c r="I356">
        <v>45285</v>
      </c>
      <c r="J356">
        <v>190</v>
      </c>
      <c r="K356">
        <v>30225</v>
      </c>
      <c r="L356">
        <v>43298</v>
      </c>
      <c r="M356">
        <v>11</v>
      </c>
      <c r="N356">
        <v>4728.0124059999998</v>
      </c>
      <c r="O356" s="7">
        <f>IFERROR(Table1[[#This Row],[Clicks]]/Table1[[#This Row],[Impressions]],0)</f>
        <v>4.1956497736557359E-3</v>
      </c>
      <c r="P356" s="5">
        <f>IFERROR(Table1[[#This Row],[Total Conversions]]/Table1[[#This Row],[Clicks]],0)</f>
        <v>5.7894736842105263E-2</v>
      </c>
      <c r="Q356" s="10">
        <f>IFERROR(Table1[[#This Row],[Gross Cost]]/Table1[[#This Row],[Total Conversions]],0)</f>
        <v>429.81930963636364</v>
      </c>
      <c r="R356" s="10">
        <f>IFERROR(Table1[[#This Row],[Gross Cost]]/(Table1[[#This Row],[Impressions]]/1000),0)</f>
        <v>104.40570621618637</v>
      </c>
      <c r="S356" s="5">
        <f>IFERROR(Table1[[#This Row],[Viewable Impressions]]/Table1[[#This Row],[Measurable Impressions]],0)</f>
        <v>0.69806919488198071</v>
      </c>
      <c r="T356" s="10">
        <f>IFERROR(1000*Table1[[#This Row],[Gross Cost]]/Table1[[#This Row],[Viewable Impressions]],0)</f>
        <v>156.42720946236557</v>
      </c>
      <c r="U356" s="10"/>
    </row>
    <row r="357" spans="1:21" x14ac:dyDescent="0.2">
      <c r="A357" t="s">
        <v>875</v>
      </c>
      <c r="B357" t="s">
        <v>21</v>
      </c>
      <c r="C357" t="s">
        <v>15</v>
      </c>
      <c r="D357" t="s">
        <v>154</v>
      </c>
      <c r="E357" t="str">
        <f>TRIM(RIGHT(Table1[[#This Row],[Location]],LEN(Table1[[#This Row],[Location]])-FIND(",",Table1[[#This Row],[Location]])))</f>
        <v>Illinois</v>
      </c>
      <c r="F357" t="s">
        <v>872</v>
      </c>
      <c r="G357" t="s">
        <v>35</v>
      </c>
      <c r="H357" t="s">
        <v>26</v>
      </c>
      <c r="I357">
        <v>16372</v>
      </c>
      <c r="J357">
        <v>90</v>
      </c>
      <c r="K357">
        <v>4731</v>
      </c>
      <c r="L357">
        <v>15332</v>
      </c>
      <c r="M357">
        <v>9</v>
      </c>
      <c r="N357">
        <v>1704.511123</v>
      </c>
      <c r="O357" s="7">
        <f>IFERROR(Table1[[#This Row],[Clicks]]/Table1[[#This Row],[Impressions]],0)</f>
        <v>5.4971903249450282E-3</v>
      </c>
      <c r="P357" s="5">
        <f>IFERROR(Table1[[#This Row],[Total Conversions]]/Table1[[#This Row],[Clicks]],0)</f>
        <v>0.1</v>
      </c>
      <c r="Q357" s="10">
        <f>IFERROR(Table1[[#This Row],[Gross Cost]]/Table1[[#This Row],[Total Conversions]],0)</f>
        <v>189.39012477777777</v>
      </c>
      <c r="R357" s="10">
        <f>IFERROR(Table1[[#This Row],[Gross Cost]]/(Table1[[#This Row],[Impressions]]/1000),0)</f>
        <v>104.11135615685316</v>
      </c>
      <c r="S357" s="5">
        <f>IFERROR(Table1[[#This Row],[Viewable Impressions]]/Table1[[#This Row],[Measurable Impressions]],0)</f>
        <v>0.3085703104617793</v>
      </c>
      <c r="T357" s="10">
        <f>IFERROR(1000*Table1[[#This Row],[Gross Cost]]/Table1[[#This Row],[Viewable Impressions]],0)</f>
        <v>360.28558930458672</v>
      </c>
      <c r="U357" s="10"/>
    </row>
    <row r="358" spans="1:21" x14ac:dyDescent="0.2">
      <c r="A358" t="s">
        <v>816</v>
      </c>
      <c r="B358" t="s">
        <v>14</v>
      </c>
      <c r="C358" t="s">
        <v>41</v>
      </c>
      <c r="D358" t="s">
        <v>28</v>
      </c>
      <c r="E358" t="str">
        <f>TRIM(RIGHT(Table1[[#This Row],[Location]],LEN(Table1[[#This Row],[Location]])-FIND(",",Table1[[#This Row],[Location]])))</f>
        <v>California</v>
      </c>
      <c r="F358" t="s">
        <v>811</v>
      </c>
      <c r="G358" t="s">
        <v>18</v>
      </c>
      <c r="H358" t="s">
        <v>26</v>
      </c>
      <c r="I358">
        <v>14763</v>
      </c>
      <c r="J358">
        <v>40</v>
      </c>
      <c r="K358">
        <v>8955</v>
      </c>
      <c r="L358">
        <v>13829</v>
      </c>
      <c r="M358">
        <v>2</v>
      </c>
      <c r="N358">
        <v>1531.9268850000001</v>
      </c>
      <c r="O358" s="7">
        <f>IFERROR(Table1[[#This Row],[Clicks]]/Table1[[#This Row],[Impressions]],0)</f>
        <v>2.70947639368692E-3</v>
      </c>
      <c r="P358" s="5">
        <f>IFERROR(Table1[[#This Row],[Total Conversions]]/Table1[[#This Row],[Clicks]],0)</f>
        <v>0.05</v>
      </c>
      <c r="Q358" s="10">
        <f>IFERROR(Table1[[#This Row],[Gross Cost]]/Table1[[#This Row],[Total Conversions]],0)</f>
        <v>765.96344250000004</v>
      </c>
      <c r="R358" s="10">
        <f>IFERROR(Table1[[#This Row],[Gross Cost]]/(Table1[[#This Row],[Impressions]]/1000),0)</f>
        <v>103.76799329404594</v>
      </c>
      <c r="S358" s="5">
        <f>IFERROR(Table1[[#This Row],[Viewable Impressions]]/Table1[[#This Row],[Measurable Impressions]],0)</f>
        <v>0.64755224528165445</v>
      </c>
      <c r="T358" s="10">
        <f>IFERROR(1000*Table1[[#This Row],[Gross Cost]]/Table1[[#This Row],[Viewable Impressions]],0)</f>
        <v>171.06944556113902</v>
      </c>
      <c r="U358" s="10"/>
    </row>
    <row r="359" spans="1:21" x14ac:dyDescent="0.2">
      <c r="A359" t="s">
        <v>569</v>
      </c>
      <c r="B359" t="s">
        <v>21</v>
      </c>
      <c r="C359" t="s">
        <v>22</v>
      </c>
      <c r="D359" t="s">
        <v>34</v>
      </c>
      <c r="E359" t="str">
        <f>TRIM(RIGHT(Table1[[#This Row],[Location]],LEN(Table1[[#This Row],[Location]])-FIND(",",Table1[[#This Row],[Location]])))</f>
        <v>Illinois</v>
      </c>
      <c r="F359" t="s">
        <v>568</v>
      </c>
      <c r="G359" t="s">
        <v>18</v>
      </c>
      <c r="H359" t="s">
        <v>26</v>
      </c>
      <c r="I359">
        <v>45965</v>
      </c>
      <c r="J359">
        <v>190</v>
      </c>
      <c r="K359">
        <v>10028</v>
      </c>
      <c r="L359">
        <v>37295</v>
      </c>
      <c r="M359">
        <v>1</v>
      </c>
      <c r="N359">
        <v>4718.8361139999997</v>
      </c>
      <c r="O359" s="7">
        <f>IFERROR(Table1[[#This Row],[Clicks]]/Table1[[#This Row],[Impressions]],0)</f>
        <v>4.1335798977482864E-3</v>
      </c>
      <c r="P359" s="5">
        <f>IFERROR(Table1[[#This Row],[Total Conversions]]/Table1[[#This Row],[Clicks]],0)</f>
        <v>5.263157894736842E-3</v>
      </c>
      <c r="Q359" s="10">
        <f>IFERROR(Table1[[#This Row],[Gross Cost]]/Table1[[#This Row],[Total Conversions]],0)</f>
        <v>4718.8361139999997</v>
      </c>
      <c r="R359" s="10">
        <f>IFERROR(Table1[[#This Row],[Gross Cost]]/(Table1[[#This Row],[Impressions]]/1000),0)</f>
        <v>102.66150579788969</v>
      </c>
      <c r="S359" s="5">
        <f>IFERROR(Table1[[#This Row],[Viewable Impressions]]/Table1[[#This Row],[Measurable Impressions]],0)</f>
        <v>0.2688832283147875</v>
      </c>
      <c r="T359" s="10">
        <f>IFERROR(1000*Table1[[#This Row],[Gross Cost]]/Table1[[#This Row],[Viewable Impressions]],0)</f>
        <v>470.56602652572798</v>
      </c>
      <c r="U359" s="10"/>
    </row>
    <row r="360" spans="1:21" x14ac:dyDescent="0.2">
      <c r="A360" t="s">
        <v>763</v>
      </c>
      <c r="B360" t="s">
        <v>21</v>
      </c>
      <c r="C360" t="s">
        <v>15</v>
      </c>
      <c r="D360" t="s">
        <v>77</v>
      </c>
      <c r="E360" t="str">
        <f>TRIM(RIGHT(Table1[[#This Row],[Location]],LEN(Table1[[#This Row],[Location]])-FIND(",",Table1[[#This Row],[Location]])))</f>
        <v>New York</v>
      </c>
      <c r="F360" t="s">
        <v>742</v>
      </c>
      <c r="G360" t="s">
        <v>45</v>
      </c>
      <c r="H360" t="s">
        <v>26</v>
      </c>
      <c r="I360">
        <v>15318</v>
      </c>
      <c r="J360">
        <v>30</v>
      </c>
      <c r="K360">
        <v>5928</v>
      </c>
      <c r="L360">
        <v>13298</v>
      </c>
      <c r="M360">
        <v>19</v>
      </c>
      <c r="N360">
        <v>1570.29739</v>
      </c>
      <c r="O360" s="7">
        <f>IFERROR(Table1[[#This Row],[Clicks]]/Table1[[#This Row],[Impressions]],0)</f>
        <v>1.9584802193497847E-3</v>
      </c>
      <c r="P360" s="5">
        <f>IFERROR(Table1[[#This Row],[Total Conversions]]/Table1[[#This Row],[Clicks]],0)</f>
        <v>0.6333333333333333</v>
      </c>
      <c r="Q360" s="10">
        <f>IFERROR(Table1[[#This Row],[Gross Cost]]/Table1[[#This Row],[Total Conversions]],0)</f>
        <v>82.647231052631582</v>
      </c>
      <c r="R360" s="10">
        <f>IFERROR(Table1[[#This Row],[Gross Cost]]/(Table1[[#This Row],[Impressions]]/1000),0)</f>
        <v>102.51321256038648</v>
      </c>
      <c r="S360" s="5">
        <f>IFERROR(Table1[[#This Row],[Viewable Impressions]]/Table1[[#This Row],[Measurable Impressions]],0)</f>
        <v>0.44578132049932323</v>
      </c>
      <c r="T360" s="10">
        <f>IFERROR(1000*Table1[[#This Row],[Gross Cost]]/Table1[[#This Row],[Viewable Impressions]],0)</f>
        <v>264.89497132253712</v>
      </c>
      <c r="U360" s="10"/>
    </row>
    <row r="361" spans="1:21" x14ac:dyDescent="0.2">
      <c r="A361" t="s">
        <v>718</v>
      </c>
      <c r="B361" t="s">
        <v>14</v>
      </c>
      <c r="C361" t="s">
        <v>41</v>
      </c>
      <c r="D361" t="s">
        <v>94</v>
      </c>
      <c r="E361" t="str">
        <f>TRIM(RIGHT(Table1[[#This Row],[Location]],LEN(Table1[[#This Row],[Location]])-FIND(",",Table1[[#This Row],[Location]])))</f>
        <v>Florida</v>
      </c>
      <c r="F361" t="s">
        <v>717</v>
      </c>
      <c r="G361" t="s">
        <v>35</v>
      </c>
      <c r="H361" t="s">
        <v>26</v>
      </c>
      <c r="I361">
        <v>57168</v>
      </c>
      <c r="J361">
        <v>160</v>
      </c>
      <c r="K361">
        <v>43261</v>
      </c>
      <c r="L361">
        <v>55261</v>
      </c>
      <c r="M361">
        <v>12</v>
      </c>
      <c r="N361">
        <v>5841.1513599999998</v>
      </c>
      <c r="O361" s="7">
        <f>IFERROR(Table1[[#This Row],[Clicks]]/Table1[[#This Row],[Impressions]],0)</f>
        <v>2.7987685418415899E-3</v>
      </c>
      <c r="P361" s="5">
        <f>IFERROR(Table1[[#This Row],[Total Conversions]]/Table1[[#This Row],[Clicks]],0)</f>
        <v>7.4999999999999997E-2</v>
      </c>
      <c r="Q361" s="10">
        <f>IFERROR(Table1[[#This Row],[Gross Cost]]/Table1[[#This Row],[Total Conversions]],0)</f>
        <v>486.76261333333332</v>
      </c>
      <c r="R361" s="10">
        <f>IFERROR(Table1[[#This Row],[Gross Cost]]/(Table1[[#This Row],[Impressions]]/1000),0)</f>
        <v>102.17519171564511</v>
      </c>
      <c r="S361" s="5">
        <f>IFERROR(Table1[[#This Row],[Viewable Impressions]]/Table1[[#This Row],[Measurable Impressions]],0)</f>
        <v>0.78284866361448402</v>
      </c>
      <c r="T361" s="10">
        <f>IFERROR(1000*Table1[[#This Row],[Gross Cost]]/Table1[[#This Row],[Viewable Impressions]],0)</f>
        <v>135.02118212708905</v>
      </c>
      <c r="U361" s="10"/>
    </row>
    <row r="362" spans="1:21" x14ac:dyDescent="0.2">
      <c r="A362" t="s">
        <v>958</v>
      </c>
      <c r="B362" t="s">
        <v>14</v>
      </c>
      <c r="C362" t="s">
        <v>15</v>
      </c>
      <c r="D362" t="s">
        <v>77</v>
      </c>
      <c r="E362" t="str">
        <f>TRIM(RIGHT(Table1[[#This Row],[Location]],LEN(Table1[[#This Row],[Location]])-FIND(",",Table1[[#This Row],[Location]])))</f>
        <v>New York</v>
      </c>
      <c r="F362" t="s">
        <v>957</v>
      </c>
      <c r="G362" t="s">
        <v>18</v>
      </c>
      <c r="H362" t="s">
        <v>51</v>
      </c>
      <c r="I362">
        <v>16175</v>
      </c>
      <c r="J362">
        <v>35</v>
      </c>
      <c r="K362">
        <v>1923</v>
      </c>
      <c r="L362">
        <v>15085</v>
      </c>
      <c r="M362">
        <v>2</v>
      </c>
      <c r="N362">
        <v>1649.069475</v>
      </c>
      <c r="O362" s="7">
        <f>IFERROR(Table1[[#This Row],[Clicks]]/Table1[[#This Row],[Impressions]],0)</f>
        <v>2.1638330757341576E-3</v>
      </c>
      <c r="P362" s="5">
        <f>IFERROR(Table1[[#This Row],[Total Conversions]]/Table1[[#This Row],[Clicks]],0)</f>
        <v>5.7142857142857141E-2</v>
      </c>
      <c r="Q362" s="10">
        <f>IFERROR(Table1[[#This Row],[Gross Cost]]/Table1[[#This Row],[Total Conversions]],0)</f>
        <v>824.53473750000001</v>
      </c>
      <c r="R362" s="10">
        <f>IFERROR(Table1[[#This Row],[Gross Cost]]/(Table1[[#This Row],[Impressions]]/1000),0)</f>
        <v>101.95174497681607</v>
      </c>
      <c r="S362" s="5">
        <f>IFERROR(Table1[[#This Row],[Viewable Impressions]]/Table1[[#This Row],[Measurable Impressions]],0)</f>
        <v>0.1274776267815711</v>
      </c>
      <c r="T362" s="10">
        <f>IFERROR(1000*Table1[[#This Row],[Gross Cost]]/Table1[[#This Row],[Viewable Impressions]],0)</f>
        <v>857.5504290171607</v>
      </c>
      <c r="U362" s="10"/>
    </row>
    <row r="363" spans="1:21" x14ac:dyDescent="0.2">
      <c r="A363" t="s">
        <v>498</v>
      </c>
      <c r="B363" t="s">
        <v>14</v>
      </c>
      <c r="C363" t="s">
        <v>41</v>
      </c>
      <c r="D363" t="s">
        <v>130</v>
      </c>
      <c r="E363" t="str">
        <f>TRIM(RIGHT(Table1[[#This Row],[Location]],LEN(Table1[[#This Row],[Location]])-FIND(",",Table1[[#This Row],[Location]])))</f>
        <v>Michigan</v>
      </c>
      <c r="F363" t="s">
        <v>492</v>
      </c>
      <c r="G363" t="s">
        <v>18</v>
      </c>
      <c r="H363" t="s">
        <v>19</v>
      </c>
      <c r="I363">
        <v>16236</v>
      </c>
      <c r="J363">
        <v>50</v>
      </c>
      <c r="K363">
        <v>8669</v>
      </c>
      <c r="L363">
        <v>15208</v>
      </c>
      <c r="M363">
        <v>11</v>
      </c>
      <c r="N363">
        <v>1639.8136959999999</v>
      </c>
      <c r="O363" s="7">
        <f>IFERROR(Table1[[#This Row],[Clicks]]/Table1[[#This Row],[Impressions]],0)</f>
        <v>3.0795762503079576E-3</v>
      </c>
      <c r="P363" s="5">
        <f>IFERROR(Table1[[#This Row],[Total Conversions]]/Table1[[#This Row],[Clicks]],0)</f>
        <v>0.22</v>
      </c>
      <c r="Q363" s="10">
        <f>IFERROR(Table1[[#This Row],[Gross Cost]]/Table1[[#This Row],[Total Conversions]],0)</f>
        <v>149.07397236363636</v>
      </c>
      <c r="R363" s="10">
        <f>IFERROR(Table1[[#This Row],[Gross Cost]]/(Table1[[#This Row],[Impressions]]/1000),0)</f>
        <v>100.99862626262626</v>
      </c>
      <c r="S363" s="5">
        <f>IFERROR(Table1[[#This Row],[Viewable Impressions]]/Table1[[#This Row],[Measurable Impressions]],0)</f>
        <v>0.57002893214097838</v>
      </c>
      <c r="T363" s="10">
        <f>IFERROR(1000*Table1[[#This Row],[Gross Cost]]/Table1[[#This Row],[Viewable Impressions]],0)</f>
        <v>189.15834536855462</v>
      </c>
      <c r="U363" s="10"/>
    </row>
    <row r="364" spans="1:21" x14ac:dyDescent="0.2">
      <c r="A364" t="s">
        <v>435</v>
      </c>
      <c r="B364" t="s">
        <v>21</v>
      </c>
      <c r="C364" t="s">
        <v>41</v>
      </c>
      <c r="D364" t="s">
        <v>77</v>
      </c>
      <c r="E364" t="str">
        <f>TRIM(RIGHT(Table1[[#This Row],[Location]],LEN(Table1[[#This Row],[Location]])-FIND(",",Table1[[#This Row],[Location]])))</f>
        <v>New York</v>
      </c>
      <c r="F364" t="s">
        <v>433</v>
      </c>
      <c r="G364" t="s">
        <v>45</v>
      </c>
      <c r="H364" t="s">
        <v>26</v>
      </c>
      <c r="I364">
        <v>45397</v>
      </c>
      <c r="J364">
        <v>114</v>
      </c>
      <c r="K364">
        <v>716</v>
      </c>
      <c r="L364">
        <v>6867</v>
      </c>
      <c r="M364">
        <v>15</v>
      </c>
      <c r="N364">
        <v>4582.4532909999998</v>
      </c>
      <c r="O364" s="7">
        <f>IFERROR(Table1[[#This Row],[Clicks]]/Table1[[#This Row],[Impressions]],0)</f>
        <v>2.5111791528074543E-3</v>
      </c>
      <c r="P364" s="5">
        <f>IFERROR(Table1[[#This Row],[Total Conversions]]/Table1[[#This Row],[Clicks]],0)</f>
        <v>0.13157894736842105</v>
      </c>
      <c r="Q364" s="10">
        <f>IFERROR(Table1[[#This Row],[Gross Cost]]/Table1[[#This Row],[Total Conversions]],0)</f>
        <v>305.49688606666666</v>
      </c>
      <c r="R364" s="10">
        <f>IFERROR(Table1[[#This Row],[Gross Cost]]/(Table1[[#This Row],[Impressions]]/1000),0)</f>
        <v>100.94176467607991</v>
      </c>
      <c r="S364" s="5">
        <f>IFERROR(Table1[[#This Row],[Viewable Impressions]]/Table1[[#This Row],[Measurable Impressions]],0)</f>
        <v>0.10426678316586574</v>
      </c>
      <c r="T364" s="10">
        <f>IFERROR(1000*Table1[[#This Row],[Gross Cost]]/Table1[[#This Row],[Viewable Impressions]],0)</f>
        <v>6400.0744287709504</v>
      </c>
      <c r="U364" s="10"/>
    </row>
    <row r="365" spans="1:21" x14ac:dyDescent="0.2">
      <c r="A365" t="s">
        <v>90</v>
      </c>
      <c r="B365" t="s">
        <v>14</v>
      </c>
      <c r="C365" t="s">
        <v>15</v>
      </c>
      <c r="D365" t="s">
        <v>38</v>
      </c>
      <c r="E365" t="str">
        <f>TRIM(RIGHT(Table1[[#This Row],[Location]],LEN(Table1[[#This Row],[Location]])-FIND(",",Table1[[#This Row],[Location]])))</f>
        <v>Tennessee</v>
      </c>
      <c r="F365" t="s">
        <v>89</v>
      </c>
      <c r="G365" t="s">
        <v>18</v>
      </c>
      <c r="H365" t="s">
        <v>26</v>
      </c>
      <c r="I365">
        <v>14984</v>
      </c>
      <c r="J365">
        <v>63</v>
      </c>
      <c r="K365">
        <v>9614</v>
      </c>
      <c r="L365">
        <v>14086</v>
      </c>
      <c r="M365">
        <v>3</v>
      </c>
      <c r="N365">
        <v>1505.0096349999999</v>
      </c>
      <c r="O365" s="7">
        <f>IFERROR(Table1[[#This Row],[Clicks]]/Table1[[#This Row],[Impressions]],0)</f>
        <v>4.2044847837693538E-3</v>
      </c>
      <c r="P365" s="5">
        <f>IFERROR(Table1[[#This Row],[Total Conversions]]/Table1[[#This Row],[Clicks]],0)</f>
        <v>4.7619047619047616E-2</v>
      </c>
      <c r="Q365" s="10">
        <f>IFERROR(Table1[[#This Row],[Gross Cost]]/Table1[[#This Row],[Total Conversions]],0)</f>
        <v>501.66987833333332</v>
      </c>
      <c r="R365" s="10">
        <f>IFERROR(Table1[[#This Row],[Gross Cost]]/(Table1[[#This Row],[Impressions]]/1000),0)</f>
        <v>100.44111285371062</v>
      </c>
      <c r="S365" s="5">
        <f>IFERROR(Table1[[#This Row],[Viewable Impressions]]/Table1[[#This Row],[Measurable Impressions]],0)</f>
        <v>0.68252165270481324</v>
      </c>
      <c r="T365" s="10">
        <f>IFERROR(1000*Table1[[#This Row],[Gross Cost]]/Table1[[#This Row],[Viewable Impressions]],0)</f>
        <v>156.54354431038067</v>
      </c>
      <c r="U365" s="10"/>
    </row>
    <row r="366" spans="1:21" x14ac:dyDescent="0.2">
      <c r="A366" t="s">
        <v>890</v>
      </c>
      <c r="B366" t="s">
        <v>14</v>
      </c>
      <c r="C366" t="s">
        <v>30</v>
      </c>
      <c r="D366" t="s">
        <v>182</v>
      </c>
      <c r="E366" t="str">
        <f>TRIM(RIGHT(Table1[[#This Row],[Location]],LEN(Table1[[#This Row],[Location]])-FIND(",",Table1[[#This Row],[Location]])))</f>
        <v>Tennessee</v>
      </c>
      <c r="F366" t="s">
        <v>889</v>
      </c>
      <c r="G366" t="s">
        <v>116</v>
      </c>
      <c r="H366" t="s">
        <v>51</v>
      </c>
      <c r="I366">
        <v>16628</v>
      </c>
      <c r="J366">
        <v>70</v>
      </c>
      <c r="K366">
        <v>7974</v>
      </c>
      <c r="L366">
        <v>15969</v>
      </c>
      <c r="M366">
        <v>13</v>
      </c>
      <c r="N366">
        <v>1665.9658509999999</v>
      </c>
      <c r="O366" s="7">
        <f>IFERROR(Table1[[#This Row],[Clicks]]/Table1[[#This Row],[Impressions]],0)</f>
        <v>4.2097666586480634E-3</v>
      </c>
      <c r="P366" s="5">
        <f>IFERROR(Table1[[#This Row],[Total Conversions]]/Table1[[#This Row],[Clicks]],0)</f>
        <v>0.18571428571428572</v>
      </c>
      <c r="Q366" s="10">
        <f>IFERROR(Table1[[#This Row],[Gross Cost]]/Table1[[#This Row],[Total Conversions]],0)</f>
        <v>128.15121930769232</v>
      </c>
      <c r="R366" s="10">
        <f>IFERROR(Table1[[#This Row],[Gross Cost]]/(Table1[[#This Row],[Impressions]]/1000),0)</f>
        <v>100.19039277122924</v>
      </c>
      <c r="S366" s="5">
        <f>IFERROR(Table1[[#This Row],[Viewable Impressions]]/Table1[[#This Row],[Measurable Impressions]],0)</f>
        <v>0.49934247604734172</v>
      </c>
      <c r="T366" s="10">
        <f>IFERROR(1000*Table1[[#This Row],[Gross Cost]]/Table1[[#This Row],[Viewable Impressions]],0)</f>
        <v>208.92473676950087</v>
      </c>
      <c r="U366" s="10"/>
    </row>
    <row r="367" spans="1:21" x14ac:dyDescent="0.2">
      <c r="A367" t="s">
        <v>670</v>
      </c>
      <c r="B367" t="s">
        <v>14</v>
      </c>
      <c r="C367" t="s">
        <v>15</v>
      </c>
      <c r="D367" t="s">
        <v>16</v>
      </c>
      <c r="E367" t="str">
        <f>TRIM(RIGHT(Table1[[#This Row],[Location]],LEN(Table1[[#This Row],[Location]])-FIND(",",Table1[[#This Row],[Location]])))</f>
        <v>California</v>
      </c>
      <c r="F367" t="s">
        <v>668</v>
      </c>
      <c r="G367" t="s">
        <v>18</v>
      </c>
      <c r="H367" t="s">
        <v>26</v>
      </c>
      <c r="I367">
        <v>52006</v>
      </c>
      <c r="J367">
        <v>160</v>
      </c>
      <c r="K367">
        <v>24711</v>
      </c>
      <c r="L367">
        <v>48019</v>
      </c>
      <c r="M367">
        <v>12</v>
      </c>
      <c r="N367">
        <v>5200.0101180000001</v>
      </c>
      <c r="O367" s="7">
        <f>IFERROR(Table1[[#This Row],[Clicks]]/Table1[[#This Row],[Impressions]],0)</f>
        <v>3.0765680882975043E-3</v>
      </c>
      <c r="P367" s="5">
        <f>IFERROR(Table1[[#This Row],[Total Conversions]]/Table1[[#This Row],[Clicks]],0)</f>
        <v>7.4999999999999997E-2</v>
      </c>
      <c r="Q367" s="10">
        <f>IFERROR(Table1[[#This Row],[Gross Cost]]/Table1[[#This Row],[Total Conversions]],0)</f>
        <v>433.33417650000001</v>
      </c>
      <c r="R367" s="10">
        <f>IFERROR(Table1[[#This Row],[Gross Cost]]/(Table1[[#This Row],[Impressions]]/1000),0)</f>
        <v>99.988657424143369</v>
      </c>
      <c r="S367" s="5">
        <f>IFERROR(Table1[[#This Row],[Viewable Impressions]]/Table1[[#This Row],[Measurable Impressions]],0)</f>
        <v>0.51460880068306292</v>
      </c>
      <c r="T367" s="10">
        <f>IFERROR(1000*Table1[[#This Row],[Gross Cost]]/Table1[[#This Row],[Viewable Impressions]],0)</f>
        <v>210.43301031929099</v>
      </c>
      <c r="U367" s="10"/>
    </row>
    <row r="368" spans="1:21" x14ac:dyDescent="0.2">
      <c r="A368" t="s">
        <v>736</v>
      </c>
      <c r="B368" t="s">
        <v>14</v>
      </c>
      <c r="C368" t="s">
        <v>41</v>
      </c>
      <c r="D368" t="s">
        <v>120</v>
      </c>
      <c r="E368" t="str">
        <f>TRIM(RIGHT(Table1[[#This Row],[Location]],LEN(Table1[[#This Row],[Location]])-FIND(",",Table1[[#This Row],[Location]])))</f>
        <v>Georgia</v>
      </c>
      <c r="F368" t="s">
        <v>734</v>
      </c>
      <c r="G368" t="s">
        <v>35</v>
      </c>
      <c r="H368" t="s">
        <v>51</v>
      </c>
      <c r="I368">
        <v>16669</v>
      </c>
      <c r="J368">
        <v>26</v>
      </c>
      <c r="K368">
        <v>10961</v>
      </c>
      <c r="L368">
        <v>15451</v>
      </c>
      <c r="M368">
        <v>5</v>
      </c>
      <c r="N368">
        <v>1658.358536</v>
      </c>
      <c r="O368" s="7">
        <f>IFERROR(Table1[[#This Row],[Clicks]]/Table1[[#This Row],[Impressions]],0)</f>
        <v>1.5597816305717199E-3</v>
      </c>
      <c r="P368" s="5">
        <f>IFERROR(Table1[[#This Row],[Total Conversions]]/Table1[[#This Row],[Clicks]],0)</f>
        <v>0.19230769230769232</v>
      </c>
      <c r="Q368" s="10">
        <f>IFERROR(Table1[[#This Row],[Gross Cost]]/Table1[[#This Row],[Total Conversions]],0)</f>
        <v>331.67170720000001</v>
      </c>
      <c r="R368" s="10">
        <f>IFERROR(Table1[[#This Row],[Gross Cost]]/(Table1[[#This Row],[Impressions]]/1000),0)</f>
        <v>99.487583898254243</v>
      </c>
      <c r="S368" s="5">
        <f>IFERROR(Table1[[#This Row],[Viewable Impressions]]/Table1[[#This Row],[Measurable Impressions]],0)</f>
        <v>0.70940392207624103</v>
      </c>
      <c r="T368" s="10">
        <f>IFERROR(1000*Table1[[#This Row],[Gross Cost]]/Table1[[#This Row],[Viewable Impressions]],0)</f>
        <v>151.29628099625944</v>
      </c>
      <c r="U368" s="10"/>
    </row>
    <row r="369" spans="1:21" x14ac:dyDescent="0.2">
      <c r="A369" t="s">
        <v>188</v>
      </c>
      <c r="B369" t="s">
        <v>14</v>
      </c>
      <c r="C369" t="s">
        <v>30</v>
      </c>
      <c r="D369" t="s">
        <v>38</v>
      </c>
      <c r="E369" t="str">
        <f>TRIM(RIGHT(Table1[[#This Row],[Location]],LEN(Table1[[#This Row],[Location]])-FIND(",",Table1[[#This Row],[Location]])))</f>
        <v>Tennessee</v>
      </c>
      <c r="F369" t="s">
        <v>185</v>
      </c>
      <c r="G369" t="s">
        <v>18</v>
      </c>
      <c r="H369" t="s">
        <v>19</v>
      </c>
      <c r="I369">
        <v>47394</v>
      </c>
      <c r="J369">
        <v>184</v>
      </c>
      <c r="K369">
        <v>22712</v>
      </c>
      <c r="L369">
        <v>41918</v>
      </c>
      <c r="M369">
        <v>24</v>
      </c>
      <c r="N369">
        <v>4701.4962370000003</v>
      </c>
      <c r="O369" s="7">
        <f>IFERROR(Table1[[#This Row],[Clicks]]/Table1[[#This Row],[Impressions]],0)</f>
        <v>3.8823479765371146E-3</v>
      </c>
      <c r="P369" s="5">
        <f>IFERROR(Table1[[#This Row],[Total Conversions]]/Table1[[#This Row],[Clicks]],0)</f>
        <v>0.13043478260869565</v>
      </c>
      <c r="Q369" s="10">
        <f>IFERROR(Table1[[#This Row],[Gross Cost]]/Table1[[#This Row],[Total Conversions]],0)</f>
        <v>195.89567654166669</v>
      </c>
      <c r="R369" s="10">
        <f>IFERROR(Table1[[#This Row],[Gross Cost]]/(Table1[[#This Row],[Impressions]]/1000),0)</f>
        <v>99.20024131746635</v>
      </c>
      <c r="S369" s="5">
        <f>IFERROR(Table1[[#This Row],[Viewable Impressions]]/Table1[[#This Row],[Measurable Impressions]],0)</f>
        <v>0.54181974330836391</v>
      </c>
      <c r="T369" s="10">
        <f>IFERROR(1000*Table1[[#This Row],[Gross Cost]]/Table1[[#This Row],[Viewable Impressions]],0)</f>
        <v>207.00494174885526</v>
      </c>
      <c r="U369" s="10"/>
    </row>
    <row r="370" spans="1:21" x14ac:dyDescent="0.2">
      <c r="A370" t="s">
        <v>201</v>
      </c>
      <c r="B370" t="s">
        <v>21</v>
      </c>
      <c r="C370" t="s">
        <v>15</v>
      </c>
      <c r="D370" t="s">
        <v>16</v>
      </c>
      <c r="E370" t="str">
        <f>TRIM(RIGHT(Table1[[#This Row],[Location]],LEN(Table1[[#This Row],[Location]])-FIND(",",Table1[[#This Row],[Location]])))</f>
        <v>California</v>
      </c>
      <c r="F370" t="s">
        <v>196</v>
      </c>
      <c r="G370" t="s">
        <v>18</v>
      </c>
      <c r="H370" t="s">
        <v>26</v>
      </c>
      <c r="I370">
        <v>43117</v>
      </c>
      <c r="J370">
        <v>100</v>
      </c>
      <c r="K370">
        <v>6478</v>
      </c>
      <c r="L370">
        <v>27405</v>
      </c>
      <c r="M370">
        <v>8</v>
      </c>
      <c r="N370">
        <v>4250.4304389999998</v>
      </c>
      <c r="O370" s="7">
        <f>IFERROR(Table1[[#This Row],[Clicks]]/Table1[[#This Row],[Impressions]],0)</f>
        <v>2.3192708212537976E-3</v>
      </c>
      <c r="P370" s="5">
        <f>IFERROR(Table1[[#This Row],[Total Conversions]]/Table1[[#This Row],[Clicks]],0)</f>
        <v>0.08</v>
      </c>
      <c r="Q370" s="10">
        <f>IFERROR(Table1[[#This Row],[Gross Cost]]/Table1[[#This Row],[Total Conversions]],0)</f>
        <v>531.30380487499997</v>
      </c>
      <c r="R370" s="10">
        <f>IFERROR(Table1[[#This Row],[Gross Cost]]/(Table1[[#This Row],[Impressions]]/1000),0)</f>
        <v>98.578992949416701</v>
      </c>
      <c r="S370" s="5">
        <f>IFERROR(Table1[[#This Row],[Viewable Impressions]]/Table1[[#This Row],[Measurable Impressions]],0)</f>
        <v>0.23638022258711913</v>
      </c>
      <c r="T370" s="10">
        <f>IFERROR(1000*Table1[[#This Row],[Gross Cost]]/Table1[[#This Row],[Viewable Impressions]],0)</f>
        <v>656.13313352886678</v>
      </c>
      <c r="U370" s="10"/>
    </row>
    <row r="371" spans="1:21" x14ac:dyDescent="0.2">
      <c r="A371" t="s">
        <v>342</v>
      </c>
      <c r="B371" t="s">
        <v>14</v>
      </c>
      <c r="C371" t="s">
        <v>15</v>
      </c>
      <c r="D371" t="s">
        <v>28</v>
      </c>
      <c r="E371" t="str">
        <f>TRIM(RIGHT(Table1[[#This Row],[Location]],LEN(Table1[[#This Row],[Location]])-FIND(",",Table1[[#This Row],[Location]])))</f>
        <v>California</v>
      </c>
      <c r="F371" t="s">
        <v>343</v>
      </c>
      <c r="G371" t="s">
        <v>18</v>
      </c>
      <c r="H371" t="s">
        <v>51</v>
      </c>
      <c r="I371">
        <v>16354</v>
      </c>
      <c r="J371">
        <v>40</v>
      </c>
      <c r="K371">
        <v>8061</v>
      </c>
      <c r="L371">
        <v>15667</v>
      </c>
      <c r="M371">
        <v>4</v>
      </c>
      <c r="N371">
        <v>1610.3199770000001</v>
      </c>
      <c r="O371" s="7">
        <f>IFERROR(Table1[[#This Row],[Clicks]]/Table1[[#This Row],[Impressions]],0)</f>
        <v>2.4458847988259752E-3</v>
      </c>
      <c r="P371" s="5">
        <f>IFERROR(Table1[[#This Row],[Total Conversions]]/Table1[[#This Row],[Clicks]],0)</f>
        <v>0.1</v>
      </c>
      <c r="Q371" s="10">
        <f>IFERROR(Table1[[#This Row],[Gross Cost]]/Table1[[#This Row],[Total Conversions]],0)</f>
        <v>402.57999425000003</v>
      </c>
      <c r="R371" s="10">
        <f>IFERROR(Table1[[#This Row],[Gross Cost]]/(Table1[[#This Row],[Impressions]]/1000),0)</f>
        <v>98.46642882475237</v>
      </c>
      <c r="S371" s="5">
        <f>IFERROR(Table1[[#This Row],[Viewable Impressions]]/Table1[[#This Row],[Measurable Impressions]],0)</f>
        <v>0.51452096763898636</v>
      </c>
      <c r="T371" s="10">
        <f>IFERROR(1000*Table1[[#This Row],[Gross Cost]]/Table1[[#This Row],[Viewable Impressions]],0)</f>
        <v>199.76677546210149</v>
      </c>
      <c r="U371" s="10"/>
    </row>
    <row r="372" spans="1:21" x14ac:dyDescent="0.2">
      <c r="A372" t="s">
        <v>697</v>
      </c>
      <c r="B372" t="s">
        <v>21</v>
      </c>
      <c r="C372" t="s">
        <v>41</v>
      </c>
      <c r="D372" t="s">
        <v>698</v>
      </c>
      <c r="E372" t="str">
        <f>TRIM(RIGHT(Table1[[#This Row],[Location]],LEN(Table1[[#This Row],[Location]])-FIND(",",Table1[[#This Row],[Location]])))</f>
        <v>Mississippi</v>
      </c>
      <c r="F372" t="s">
        <v>699</v>
      </c>
      <c r="G372" t="s">
        <v>35</v>
      </c>
      <c r="H372" t="s">
        <v>26</v>
      </c>
      <c r="I372">
        <v>19829</v>
      </c>
      <c r="J372">
        <v>42</v>
      </c>
      <c r="K372">
        <v>15071</v>
      </c>
      <c r="L372">
        <v>19095</v>
      </c>
      <c r="M372">
        <v>2</v>
      </c>
      <c r="N372">
        <v>1952.4637729999999</v>
      </c>
      <c r="O372" s="7">
        <f>IFERROR(Table1[[#This Row],[Clicks]]/Table1[[#This Row],[Impressions]],0)</f>
        <v>2.1181098391245146E-3</v>
      </c>
      <c r="P372" s="5">
        <f>IFERROR(Table1[[#This Row],[Total Conversions]]/Table1[[#This Row],[Clicks]],0)</f>
        <v>4.7619047619047616E-2</v>
      </c>
      <c r="Q372" s="10">
        <f>IFERROR(Table1[[#This Row],[Gross Cost]]/Table1[[#This Row],[Total Conversions]],0)</f>
        <v>976.23188649999997</v>
      </c>
      <c r="R372" s="10">
        <f>IFERROR(Table1[[#This Row],[Gross Cost]]/(Table1[[#This Row],[Impressions]]/1000),0)</f>
        <v>98.465064955368391</v>
      </c>
      <c r="S372" s="5">
        <f>IFERROR(Table1[[#This Row],[Viewable Impressions]]/Table1[[#This Row],[Measurable Impressions]],0)</f>
        <v>0.78926420528934271</v>
      </c>
      <c r="T372" s="10">
        <f>IFERROR(1000*Table1[[#This Row],[Gross Cost]]/Table1[[#This Row],[Viewable Impressions]],0)</f>
        <v>129.55104326189371</v>
      </c>
      <c r="U372" s="10"/>
    </row>
    <row r="373" spans="1:21" x14ac:dyDescent="0.2">
      <c r="A373" t="s">
        <v>426</v>
      </c>
      <c r="B373" t="s">
        <v>14</v>
      </c>
      <c r="C373" t="s">
        <v>41</v>
      </c>
      <c r="D373" t="s">
        <v>34</v>
      </c>
      <c r="E373" t="str">
        <f>TRIM(RIGHT(Table1[[#This Row],[Location]],LEN(Table1[[#This Row],[Location]])-FIND(",",Table1[[#This Row],[Location]])))</f>
        <v>Illinois</v>
      </c>
      <c r="F373" t="s">
        <v>425</v>
      </c>
      <c r="G373" t="s">
        <v>18</v>
      </c>
      <c r="H373" t="s">
        <v>51</v>
      </c>
      <c r="I373">
        <v>16202</v>
      </c>
      <c r="J373">
        <v>80</v>
      </c>
      <c r="K373">
        <v>11786</v>
      </c>
      <c r="L373">
        <v>15365</v>
      </c>
      <c r="M373">
        <v>2</v>
      </c>
      <c r="N373">
        <v>1570.34276</v>
      </c>
      <c r="O373" s="7">
        <f>IFERROR(Table1[[#This Row],[Clicks]]/Table1[[#This Row],[Impressions]],0)</f>
        <v>4.937662017034934E-3</v>
      </c>
      <c r="P373" s="5">
        <f>IFERROR(Table1[[#This Row],[Total Conversions]]/Table1[[#This Row],[Clicks]],0)</f>
        <v>2.5000000000000001E-2</v>
      </c>
      <c r="Q373" s="10">
        <f>IFERROR(Table1[[#This Row],[Gross Cost]]/Table1[[#This Row],[Total Conversions]],0)</f>
        <v>785.17138</v>
      </c>
      <c r="R373" s="10">
        <f>IFERROR(Table1[[#This Row],[Gross Cost]]/(Table1[[#This Row],[Impressions]]/1000),0)</f>
        <v>96.922772497222553</v>
      </c>
      <c r="S373" s="5">
        <f>IFERROR(Table1[[#This Row],[Viewable Impressions]]/Table1[[#This Row],[Measurable Impressions]],0)</f>
        <v>0.76706801171493655</v>
      </c>
      <c r="T373" s="10">
        <f>IFERROR(1000*Table1[[#This Row],[Gross Cost]]/Table1[[#This Row],[Viewable Impressions]],0)</f>
        <v>133.23797386730018</v>
      </c>
      <c r="U373" s="10"/>
    </row>
    <row r="374" spans="1:21" x14ac:dyDescent="0.2">
      <c r="A374" t="s">
        <v>703</v>
      </c>
      <c r="B374" t="s">
        <v>14</v>
      </c>
      <c r="C374" t="s">
        <v>30</v>
      </c>
      <c r="D374" t="s">
        <v>28</v>
      </c>
      <c r="E374" t="str">
        <f>TRIM(RIGHT(Table1[[#This Row],[Location]],LEN(Table1[[#This Row],[Location]])-FIND(",",Table1[[#This Row],[Location]])))</f>
        <v>California</v>
      </c>
      <c r="F374" t="s">
        <v>701</v>
      </c>
      <c r="G374" t="s">
        <v>18</v>
      </c>
      <c r="H374" t="s">
        <v>26</v>
      </c>
      <c r="I374">
        <v>75531</v>
      </c>
      <c r="J374">
        <v>200</v>
      </c>
      <c r="K374">
        <v>63816</v>
      </c>
      <c r="L374">
        <v>70011</v>
      </c>
      <c r="M374">
        <v>9</v>
      </c>
      <c r="N374">
        <v>7261.8650399999997</v>
      </c>
      <c r="O374" s="7">
        <f>IFERROR(Table1[[#This Row],[Clicks]]/Table1[[#This Row],[Impressions]],0)</f>
        <v>2.6479193973335453E-3</v>
      </c>
      <c r="P374" s="5">
        <f>IFERROR(Table1[[#This Row],[Total Conversions]]/Table1[[#This Row],[Clicks]],0)</f>
        <v>4.4999999999999998E-2</v>
      </c>
      <c r="Q374" s="10">
        <f>IFERROR(Table1[[#This Row],[Gross Cost]]/Table1[[#This Row],[Total Conversions]],0)</f>
        <v>806.87389333333329</v>
      </c>
      <c r="R374" s="10">
        <f>IFERROR(Table1[[#This Row],[Gross Cost]]/(Table1[[#This Row],[Impressions]]/1000),0)</f>
        <v>96.144166501171696</v>
      </c>
      <c r="S374" s="5">
        <f>IFERROR(Table1[[#This Row],[Viewable Impressions]]/Table1[[#This Row],[Measurable Impressions]],0)</f>
        <v>0.91151390495779239</v>
      </c>
      <c r="T374" s="10">
        <f>IFERROR(1000*Table1[[#This Row],[Gross Cost]]/Table1[[#This Row],[Viewable Impressions]],0)</f>
        <v>113.79379842045881</v>
      </c>
      <c r="U374" s="10"/>
    </row>
    <row r="375" spans="1:21" x14ac:dyDescent="0.2">
      <c r="A375" t="s">
        <v>966</v>
      </c>
      <c r="B375" t="s">
        <v>21</v>
      </c>
      <c r="C375" t="s">
        <v>15</v>
      </c>
      <c r="D375" t="s">
        <v>28</v>
      </c>
      <c r="E375" t="str">
        <f>TRIM(RIGHT(Table1[[#This Row],[Location]],LEN(Table1[[#This Row],[Location]])-FIND(",",Table1[[#This Row],[Location]])))</f>
        <v>California</v>
      </c>
      <c r="F375" t="s">
        <v>960</v>
      </c>
      <c r="G375" t="s">
        <v>35</v>
      </c>
      <c r="H375" t="s">
        <v>26</v>
      </c>
      <c r="I375">
        <v>15311</v>
      </c>
      <c r="J375">
        <v>10</v>
      </c>
      <c r="K375">
        <v>7757</v>
      </c>
      <c r="L375">
        <v>12630</v>
      </c>
      <c r="M375">
        <v>19</v>
      </c>
      <c r="N375">
        <v>1471.187144</v>
      </c>
      <c r="O375" s="7">
        <f>IFERROR(Table1[[#This Row],[Clicks]]/Table1[[#This Row],[Impressions]],0)</f>
        <v>6.5312520410162628E-4</v>
      </c>
      <c r="P375" s="5">
        <f>IFERROR(Table1[[#This Row],[Total Conversions]]/Table1[[#This Row],[Clicks]],0)</f>
        <v>1.9</v>
      </c>
      <c r="Q375" s="10">
        <f>IFERROR(Table1[[#This Row],[Gross Cost]]/Table1[[#This Row],[Total Conversions]],0)</f>
        <v>77.430902315789467</v>
      </c>
      <c r="R375" s="10">
        <f>IFERROR(Table1[[#This Row],[Gross Cost]]/(Table1[[#This Row],[Impressions]]/1000),0)</f>
        <v>96.086940369668866</v>
      </c>
      <c r="S375" s="5">
        <f>IFERROR(Table1[[#This Row],[Viewable Impressions]]/Table1[[#This Row],[Measurable Impressions]],0)</f>
        <v>0.61417260490894698</v>
      </c>
      <c r="T375" s="10">
        <f>IFERROR(1000*Table1[[#This Row],[Gross Cost]]/Table1[[#This Row],[Viewable Impressions]],0)</f>
        <v>189.6592940569808</v>
      </c>
      <c r="U375" s="10"/>
    </row>
    <row r="376" spans="1:21" x14ac:dyDescent="0.2">
      <c r="A376" t="s">
        <v>64</v>
      </c>
      <c r="B376" t="s">
        <v>14</v>
      </c>
      <c r="C376" t="s">
        <v>30</v>
      </c>
      <c r="D376" t="s">
        <v>65</v>
      </c>
      <c r="E376" t="str">
        <f>TRIM(RIGHT(Table1[[#This Row],[Location]],LEN(Table1[[#This Row],[Location]])-FIND(",",Table1[[#This Row],[Location]])))</f>
        <v>Florida</v>
      </c>
      <c r="F376" t="s">
        <v>63</v>
      </c>
      <c r="G376" t="s">
        <v>18</v>
      </c>
      <c r="H376" t="s">
        <v>19</v>
      </c>
      <c r="I376">
        <v>16719</v>
      </c>
      <c r="J376">
        <v>35</v>
      </c>
      <c r="K376">
        <v>9944</v>
      </c>
      <c r="L376">
        <v>15714</v>
      </c>
      <c r="M376">
        <v>13</v>
      </c>
      <c r="N376">
        <v>1588.6475</v>
      </c>
      <c r="O376" s="7">
        <f>IFERROR(Table1[[#This Row],[Clicks]]/Table1[[#This Row],[Impressions]],0)</f>
        <v>2.0934266403493033E-3</v>
      </c>
      <c r="P376" s="5">
        <f>IFERROR(Table1[[#This Row],[Total Conversions]]/Table1[[#This Row],[Clicks]],0)</f>
        <v>0.37142857142857144</v>
      </c>
      <c r="Q376" s="10">
        <f>IFERROR(Table1[[#This Row],[Gross Cost]]/Table1[[#This Row],[Total Conversions]],0)</f>
        <v>122.20365384615386</v>
      </c>
      <c r="R376" s="10">
        <f>IFERROR(Table1[[#This Row],[Gross Cost]]/(Table1[[#This Row],[Impressions]]/1000),0)</f>
        <v>95.020485674980563</v>
      </c>
      <c r="S376" s="5">
        <f>IFERROR(Table1[[#This Row],[Viewable Impressions]]/Table1[[#This Row],[Measurable Impressions]],0)</f>
        <v>0.63281150566373934</v>
      </c>
      <c r="T376" s="10">
        <f>IFERROR(1000*Table1[[#This Row],[Gross Cost]]/Table1[[#This Row],[Viewable Impressions]],0)</f>
        <v>159.75940265486724</v>
      </c>
      <c r="U376" s="10"/>
    </row>
    <row r="377" spans="1:21" x14ac:dyDescent="0.2">
      <c r="A377" t="s">
        <v>903</v>
      </c>
      <c r="B377" t="s">
        <v>21</v>
      </c>
      <c r="C377" t="s">
        <v>15</v>
      </c>
      <c r="D377" t="s">
        <v>432</v>
      </c>
      <c r="E377" t="str">
        <f>TRIM(RIGHT(Table1[[#This Row],[Location]],LEN(Table1[[#This Row],[Location]])-FIND(",",Table1[[#This Row],[Location]])))</f>
        <v>Mississippi</v>
      </c>
      <c r="F377" t="s">
        <v>899</v>
      </c>
      <c r="G377" t="s">
        <v>45</v>
      </c>
      <c r="H377" t="s">
        <v>26</v>
      </c>
      <c r="I377">
        <v>19549</v>
      </c>
      <c r="J377">
        <v>84</v>
      </c>
      <c r="K377">
        <v>6187</v>
      </c>
      <c r="L377">
        <v>17166</v>
      </c>
      <c r="M377">
        <v>2</v>
      </c>
      <c r="N377">
        <v>1844.9869209999999</v>
      </c>
      <c r="O377" s="7">
        <f>IFERROR(Table1[[#This Row],[Clicks]]/Table1[[#This Row],[Impressions]],0)</f>
        <v>4.2968949818405038E-3</v>
      </c>
      <c r="P377" s="5">
        <f>IFERROR(Table1[[#This Row],[Total Conversions]]/Table1[[#This Row],[Clicks]],0)</f>
        <v>2.3809523809523808E-2</v>
      </c>
      <c r="Q377" s="10">
        <f>IFERROR(Table1[[#This Row],[Gross Cost]]/Table1[[#This Row],[Total Conversions]],0)</f>
        <v>922.49346049999997</v>
      </c>
      <c r="R377" s="10">
        <f>IFERROR(Table1[[#This Row],[Gross Cost]]/(Table1[[#This Row],[Impressions]]/1000),0)</f>
        <v>94.377560028645959</v>
      </c>
      <c r="S377" s="5">
        <f>IFERROR(Table1[[#This Row],[Viewable Impressions]]/Table1[[#This Row],[Measurable Impressions]],0)</f>
        <v>0.36042176395199815</v>
      </c>
      <c r="T377" s="10">
        <f>IFERROR(1000*Table1[[#This Row],[Gross Cost]]/Table1[[#This Row],[Viewable Impressions]],0)</f>
        <v>298.20380168094391</v>
      </c>
      <c r="U377" s="10"/>
    </row>
    <row r="378" spans="1:21" x14ac:dyDescent="0.2">
      <c r="A378" t="s">
        <v>132</v>
      </c>
      <c r="B378" t="s">
        <v>14</v>
      </c>
      <c r="C378" t="s">
        <v>22</v>
      </c>
      <c r="D378" t="s">
        <v>16</v>
      </c>
      <c r="E378" t="str">
        <f>TRIM(RIGHT(Table1[[#This Row],[Location]],LEN(Table1[[#This Row],[Location]])-FIND(",",Table1[[#This Row],[Location]])))</f>
        <v>California</v>
      </c>
      <c r="F378" t="s">
        <v>114</v>
      </c>
      <c r="G378" t="s">
        <v>18</v>
      </c>
      <c r="H378" t="s">
        <v>51</v>
      </c>
      <c r="I378">
        <v>16808</v>
      </c>
      <c r="J378">
        <v>43</v>
      </c>
      <c r="K378">
        <v>9211</v>
      </c>
      <c r="L378">
        <v>13372</v>
      </c>
      <c r="M378">
        <v>3</v>
      </c>
      <c r="N378">
        <v>1574.7912799999999</v>
      </c>
      <c r="O378" s="7">
        <f>IFERROR(Table1[[#This Row],[Clicks]]/Table1[[#This Row],[Impressions]],0)</f>
        <v>2.5583055687767729E-3</v>
      </c>
      <c r="P378" s="5">
        <f>IFERROR(Table1[[#This Row],[Total Conversions]]/Table1[[#This Row],[Clicks]],0)</f>
        <v>6.9767441860465115E-2</v>
      </c>
      <c r="Q378" s="10">
        <f>IFERROR(Table1[[#This Row],[Gross Cost]]/Table1[[#This Row],[Total Conversions]],0)</f>
        <v>524.93042666666668</v>
      </c>
      <c r="R378" s="10">
        <f>IFERROR(Table1[[#This Row],[Gross Cost]]/(Table1[[#This Row],[Impressions]]/1000),0)</f>
        <v>93.692960495002382</v>
      </c>
      <c r="S378" s="5">
        <f>IFERROR(Table1[[#This Row],[Viewable Impressions]]/Table1[[#This Row],[Measurable Impressions]],0)</f>
        <v>0.68882740053843849</v>
      </c>
      <c r="T378" s="10">
        <f>IFERROR(1000*Table1[[#This Row],[Gross Cost]]/Table1[[#This Row],[Viewable Impressions]],0)</f>
        <v>170.96854630333297</v>
      </c>
      <c r="U378" s="10"/>
    </row>
    <row r="379" spans="1:21" x14ac:dyDescent="0.2">
      <c r="A379" t="s">
        <v>264</v>
      </c>
      <c r="B379" t="s">
        <v>21</v>
      </c>
      <c r="C379" t="s">
        <v>15</v>
      </c>
      <c r="D379" t="s">
        <v>16</v>
      </c>
      <c r="E379" t="str">
        <f>TRIM(RIGHT(Table1[[#This Row],[Location]],LEN(Table1[[#This Row],[Location]])-FIND(",",Table1[[#This Row],[Location]])))</f>
        <v>California</v>
      </c>
      <c r="F379" t="s">
        <v>265</v>
      </c>
      <c r="G379" t="s">
        <v>32</v>
      </c>
      <c r="H379" t="s">
        <v>26</v>
      </c>
      <c r="I379">
        <v>39212</v>
      </c>
      <c r="J379">
        <v>260</v>
      </c>
      <c r="K379">
        <v>31317</v>
      </c>
      <c r="L379">
        <v>37660</v>
      </c>
      <c r="M379">
        <v>1</v>
      </c>
      <c r="N379">
        <v>3621.4177030000001</v>
      </c>
      <c r="O379" s="7">
        <f>IFERROR(Table1[[#This Row],[Clicks]]/Table1[[#This Row],[Impressions]],0)</f>
        <v>6.6306232785881877E-3</v>
      </c>
      <c r="P379" s="5">
        <f>IFERROR(Table1[[#This Row],[Total Conversions]]/Table1[[#This Row],[Clicks]],0)</f>
        <v>3.8461538461538464E-3</v>
      </c>
      <c r="Q379" s="10">
        <f>IFERROR(Table1[[#This Row],[Gross Cost]]/Table1[[#This Row],[Total Conversions]],0)</f>
        <v>3621.4177030000001</v>
      </c>
      <c r="R379" s="10">
        <f>IFERROR(Table1[[#This Row],[Gross Cost]]/(Table1[[#This Row],[Impressions]]/1000),0)</f>
        <v>92.354832780781393</v>
      </c>
      <c r="S379" s="5">
        <f>IFERROR(Table1[[#This Row],[Viewable Impressions]]/Table1[[#This Row],[Measurable Impressions]],0)</f>
        <v>0.83157195963887409</v>
      </c>
      <c r="T379" s="10">
        <f>IFERROR(1000*Table1[[#This Row],[Gross Cost]]/Table1[[#This Row],[Viewable Impressions]],0)</f>
        <v>115.63743982501518</v>
      </c>
      <c r="U379" s="10"/>
    </row>
    <row r="380" spans="1:21" x14ac:dyDescent="0.2">
      <c r="A380" t="s">
        <v>366</v>
      </c>
      <c r="B380" t="s">
        <v>21</v>
      </c>
      <c r="C380" t="s">
        <v>41</v>
      </c>
      <c r="D380" t="s">
        <v>77</v>
      </c>
      <c r="E380" t="str">
        <f>TRIM(RIGHT(Table1[[#This Row],[Location]],LEN(Table1[[#This Row],[Location]])-FIND(",",Table1[[#This Row],[Location]])))</f>
        <v>New York</v>
      </c>
      <c r="F380" t="s">
        <v>364</v>
      </c>
      <c r="G380" t="s">
        <v>35</v>
      </c>
      <c r="H380" t="s">
        <v>26</v>
      </c>
      <c r="I380">
        <v>76049</v>
      </c>
      <c r="J380">
        <v>199</v>
      </c>
      <c r="K380">
        <v>34921</v>
      </c>
      <c r="L380">
        <v>69138</v>
      </c>
      <c r="M380">
        <v>8</v>
      </c>
      <c r="N380">
        <v>6942.8004579999997</v>
      </c>
      <c r="O380" s="7">
        <f>IFERROR(Table1[[#This Row],[Clicks]]/Table1[[#This Row],[Impressions]],0)</f>
        <v>2.6167339478494127E-3</v>
      </c>
      <c r="P380" s="5">
        <f>IFERROR(Table1[[#This Row],[Total Conversions]]/Table1[[#This Row],[Clicks]],0)</f>
        <v>4.0201005025125629E-2</v>
      </c>
      <c r="Q380" s="10">
        <f>IFERROR(Table1[[#This Row],[Gross Cost]]/Table1[[#This Row],[Total Conversions]],0)</f>
        <v>867.85005724999996</v>
      </c>
      <c r="R380" s="10">
        <f>IFERROR(Table1[[#This Row],[Gross Cost]]/(Table1[[#This Row],[Impressions]]/1000),0)</f>
        <v>91.29377714368367</v>
      </c>
      <c r="S380" s="5">
        <f>IFERROR(Table1[[#This Row],[Viewable Impressions]]/Table1[[#This Row],[Measurable Impressions]],0)</f>
        <v>0.50509126674187854</v>
      </c>
      <c r="T380" s="10">
        <f>IFERROR(1000*Table1[[#This Row],[Gross Cost]]/Table1[[#This Row],[Viewable Impressions]],0)</f>
        <v>198.81448005498123</v>
      </c>
      <c r="U380" s="10"/>
    </row>
    <row r="381" spans="1:21" x14ac:dyDescent="0.2">
      <c r="A381" t="s">
        <v>778</v>
      </c>
      <c r="B381" t="s">
        <v>21</v>
      </c>
      <c r="C381" t="s">
        <v>30</v>
      </c>
      <c r="D381" t="s">
        <v>34</v>
      </c>
      <c r="E381" t="str">
        <f>TRIM(RIGHT(Table1[[#This Row],[Location]],LEN(Table1[[#This Row],[Location]])-FIND(",",Table1[[#This Row],[Location]])))</f>
        <v>Illinois</v>
      </c>
      <c r="F381" t="s">
        <v>777</v>
      </c>
      <c r="G381" t="s">
        <v>79</v>
      </c>
      <c r="H381" t="s">
        <v>26</v>
      </c>
      <c r="I381">
        <v>16791</v>
      </c>
      <c r="J381">
        <v>40</v>
      </c>
      <c r="K381">
        <v>11402</v>
      </c>
      <c r="L381">
        <v>14231</v>
      </c>
      <c r="M381">
        <v>3</v>
      </c>
      <c r="N381">
        <v>1522.5122719999999</v>
      </c>
      <c r="O381" s="7">
        <f>IFERROR(Table1[[#This Row],[Clicks]]/Table1[[#This Row],[Impressions]],0)</f>
        <v>2.3822285748317552E-3</v>
      </c>
      <c r="P381" s="5">
        <f>IFERROR(Table1[[#This Row],[Total Conversions]]/Table1[[#This Row],[Clicks]],0)</f>
        <v>7.4999999999999997E-2</v>
      </c>
      <c r="Q381" s="10">
        <f>IFERROR(Table1[[#This Row],[Gross Cost]]/Table1[[#This Row],[Total Conversions]],0)</f>
        <v>507.50409066666663</v>
      </c>
      <c r="R381" s="10">
        <f>IFERROR(Table1[[#This Row],[Gross Cost]]/(Table1[[#This Row],[Impressions]]/1000),0)</f>
        <v>90.674305997260433</v>
      </c>
      <c r="S381" s="5">
        <f>IFERROR(Table1[[#This Row],[Viewable Impressions]]/Table1[[#This Row],[Measurable Impressions]],0)</f>
        <v>0.80120862904925871</v>
      </c>
      <c r="T381" s="10">
        <f>IFERROR(1000*Table1[[#This Row],[Gross Cost]]/Table1[[#This Row],[Viewable Impressions]],0)</f>
        <v>133.53028170496404</v>
      </c>
      <c r="U381" s="10"/>
    </row>
    <row r="382" spans="1:21" x14ac:dyDescent="0.2">
      <c r="A382" t="s">
        <v>628</v>
      </c>
      <c r="B382" t="s">
        <v>21</v>
      </c>
      <c r="C382" t="s">
        <v>30</v>
      </c>
      <c r="D382" t="s">
        <v>154</v>
      </c>
      <c r="E382" t="str">
        <f>TRIM(RIGHT(Table1[[#This Row],[Location]],LEN(Table1[[#This Row],[Location]])-FIND(",",Table1[[#This Row],[Location]])))</f>
        <v>Illinois</v>
      </c>
      <c r="F382" t="s">
        <v>611</v>
      </c>
      <c r="G382" t="s">
        <v>18</v>
      </c>
      <c r="H382" t="s">
        <v>26</v>
      </c>
      <c r="I382">
        <v>48436</v>
      </c>
      <c r="J382">
        <v>171</v>
      </c>
      <c r="K382">
        <v>16543</v>
      </c>
      <c r="L382">
        <v>42427</v>
      </c>
      <c r="M382">
        <v>6</v>
      </c>
      <c r="N382">
        <v>4386.6482150000002</v>
      </c>
      <c r="O382" s="7">
        <f>IFERROR(Table1[[#This Row],[Clicks]]/Table1[[#This Row],[Impressions]],0)</f>
        <v>3.5304319101494754E-3</v>
      </c>
      <c r="P382" s="5">
        <f>IFERROR(Table1[[#This Row],[Total Conversions]]/Table1[[#This Row],[Clicks]],0)</f>
        <v>3.5087719298245612E-2</v>
      </c>
      <c r="Q382" s="10">
        <f>IFERROR(Table1[[#This Row],[Gross Cost]]/Table1[[#This Row],[Total Conversions]],0)</f>
        <v>731.10803583333336</v>
      </c>
      <c r="R382" s="10">
        <f>IFERROR(Table1[[#This Row],[Gross Cost]]/(Table1[[#This Row],[Impressions]]/1000),0)</f>
        <v>90.565864542901977</v>
      </c>
      <c r="S382" s="5">
        <f>IFERROR(Table1[[#This Row],[Viewable Impressions]]/Table1[[#This Row],[Measurable Impressions]],0)</f>
        <v>0.3899167982652556</v>
      </c>
      <c r="T382" s="10">
        <f>IFERROR(1000*Table1[[#This Row],[Gross Cost]]/Table1[[#This Row],[Viewable Impressions]],0)</f>
        <v>265.16642779423319</v>
      </c>
      <c r="U382" s="10"/>
    </row>
    <row r="383" spans="1:21" x14ac:dyDescent="0.2">
      <c r="A383" t="s">
        <v>746</v>
      </c>
      <c r="B383" t="s">
        <v>14</v>
      </c>
      <c r="C383" t="s">
        <v>22</v>
      </c>
      <c r="D383" t="s">
        <v>54</v>
      </c>
      <c r="E383" t="str">
        <f>TRIM(RIGHT(Table1[[#This Row],[Location]],LEN(Table1[[#This Row],[Location]])-FIND(",",Table1[[#This Row],[Location]])))</f>
        <v>Florida</v>
      </c>
      <c r="F383" t="s">
        <v>742</v>
      </c>
      <c r="G383" t="s">
        <v>116</v>
      </c>
      <c r="H383" t="s">
        <v>26</v>
      </c>
      <c r="I383">
        <v>69928</v>
      </c>
      <c r="J383">
        <v>210</v>
      </c>
      <c r="K383">
        <v>30196</v>
      </c>
      <c r="L383">
        <v>62327</v>
      </c>
      <c r="M383">
        <v>9</v>
      </c>
      <c r="N383">
        <v>6318.4130850000001</v>
      </c>
      <c r="O383" s="7">
        <f>IFERROR(Table1[[#This Row],[Clicks]]/Table1[[#This Row],[Impressions]],0)</f>
        <v>3.0030888914311864E-3</v>
      </c>
      <c r="P383" s="5">
        <f>IFERROR(Table1[[#This Row],[Total Conversions]]/Table1[[#This Row],[Clicks]],0)</f>
        <v>4.2857142857142858E-2</v>
      </c>
      <c r="Q383" s="10">
        <f>IFERROR(Table1[[#This Row],[Gross Cost]]/Table1[[#This Row],[Total Conversions]],0)</f>
        <v>702.0458983333333</v>
      </c>
      <c r="R383" s="10">
        <f>IFERROR(Table1[[#This Row],[Gross Cost]]/(Table1[[#This Row],[Impressions]]/1000),0)</f>
        <v>90.35598165255692</v>
      </c>
      <c r="S383" s="5">
        <f>IFERROR(Table1[[#This Row],[Viewable Impressions]]/Table1[[#This Row],[Measurable Impressions]],0)</f>
        <v>0.48447703242575446</v>
      </c>
      <c r="T383" s="10">
        <f>IFERROR(1000*Table1[[#This Row],[Gross Cost]]/Table1[[#This Row],[Viewable Impressions]],0)</f>
        <v>209.24669111802888</v>
      </c>
      <c r="U383" s="10"/>
    </row>
    <row r="384" spans="1:21" x14ac:dyDescent="0.2">
      <c r="A384" t="s">
        <v>311</v>
      </c>
      <c r="B384" t="s">
        <v>14</v>
      </c>
      <c r="C384" t="s">
        <v>30</v>
      </c>
      <c r="D384" t="s">
        <v>34</v>
      </c>
      <c r="E384" t="str">
        <f>TRIM(RIGHT(Table1[[#This Row],[Location]],LEN(Table1[[#This Row],[Location]])-FIND(",",Table1[[#This Row],[Location]])))</f>
        <v>Illinois</v>
      </c>
      <c r="F384" t="s">
        <v>296</v>
      </c>
      <c r="G384" t="s">
        <v>116</v>
      </c>
      <c r="H384" t="s">
        <v>26</v>
      </c>
      <c r="I384">
        <v>56945</v>
      </c>
      <c r="J384">
        <v>152</v>
      </c>
      <c r="K384">
        <v>20750</v>
      </c>
      <c r="L384">
        <v>50714</v>
      </c>
      <c r="M384">
        <v>9</v>
      </c>
      <c r="N384">
        <v>5144.4743710000002</v>
      </c>
      <c r="O384" s="7">
        <f>IFERROR(Table1[[#This Row],[Clicks]]/Table1[[#This Row],[Impressions]],0)</f>
        <v>2.6692422512951093E-3</v>
      </c>
      <c r="P384" s="5">
        <f>IFERROR(Table1[[#This Row],[Total Conversions]]/Table1[[#This Row],[Clicks]],0)</f>
        <v>5.921052631578947E-2</v>
      </c>
      <c r="Q384" s="10">
        <f>IFERROR(Table1[[#This Row],[Gross Cost]]/Table1[[#This Row],[Total Conversions]],0)</f>
        <v>571.60826344444445</v>
      </c>
      <c r="R384" s="10">
        <f>IFERROR(Table1[[#This Row],[Gross Cost]]/(Table1[[#This Row],[Impressions]]/1000),0)</f>
        <v>90.341107577487051</v>
      </c>
      <c r="S384" s="5">
        <f>IFERROR(Table1[[#This Row],[Viewable Impressions]]/Table1[[#This Row],[Measurable Impressions]],0)</f>
        <v>0.40915723468864612</v>
      </c>
      <c r="T384" s="10">
        <f>IFERROR(1000*Table1[[#This Row],[Gross Cost]]/Table1[[#This Row],[Viewable Impressions]],0)</f>
        <v>247.92647571084339</v>
      </c>
      <c r="U384" s="10"/>
    </row>
    <row r="385" spans="1:21" x14ac:dyDescent="0.2">
      <c r="A385" t="s">
        <v>415</v>
      </c>
      <c r="B385" t="s">
        <v>14</v>
      </c>
      <c r="C385" t="s">
        <v>22</v>
      </c>
      <c r="D385" t="s">
        <v>65</v>
      </c>
      <c r="E385" t="str">
        <f>TRIM(RIGHT(Table1[[#This Row],[Location]],LEN(Table1[[#This Row],[Location]])-FIND(",",Table1[[#This Row],[Location]])))</f>
        <v>Florida</v>
      </c>
      <c r="F385" t="s">
        <v>409</v>
      </c>
      <c r="G385" t="s">
        <v>18</v>
      </c>
      <c r="H385" t="s">
        <v>51</v>
      </c>
      <c r="I385">
        <v>19951</v>
      </c>
      <c r="J385">
        <v>81</v>
      </c>
      <c r="K385">
        <v>10511</v>
      </c>
      <c r="L385">
        <v>18132</v>
      </c>
      <c r="M385">
        <v>15</v>
      </c>
      <c r="N385">
        <v>1801.14885</v>
      </c>
      <c r="O385" s="7">
        <f>IFERROR(Table1[[#This Row],[Clicks]]/Table1[[#This Row],[Impressions]],0)</f>
        <v>4.0599468698310865E-3</v>
      </c>
      <c r="P385" s="5">
        <f>IFERROR(Table1[[#This Row],[Total Conversions]]/Table1[[#This Row],[Clicks]],0)</f>
        <v>0.18518518518518517</v>
      </c>
      <c r="Q385" s="10">
        <f>IFERROR(Table1[[#This Row],[Gross Cost]]/Table1[[#This Row],[Total Conversions]],0)</f>
        <v>120.07659</v>
      </c>
      <c r="R385" s="10">
        <f>IFERROR(Table1[[#This Row],[Gross Cost]]/(Table1[[#This Row],[Impressions]]/1000),0)</f>
        <v>90.278625131572355</v>
      </c>
      <c r="S385" s="5">
        <f>IFERROR(Table1[[#This Row],[Viewable Impressions]]/Table1[[#This Row],[Measurable Impressions]],0)</f>
        <v>0.57969335980586811</v>
      </c>
      <c r="T385" s="10">
        <f>IFERROR(1000*Table1[[#This Row],[Gross Cost]]/Table1[[#This Row],[Viewable Impressions]],0)</f>
        <v>171.35846731995053</v>
      </c>
      <c r="U385" s="10"/>
    </row>
    <row r="386" spans="1:21" x14ac:dyDescent="0.2">
      <c r="A386" t="s">
        <v>578</v>
      </c>
      <c r="B386" t="s">
        <v>14</v>
      </c>
      <c r="C386" t="s">
        <v>30</v>
      </c>
      <c r="D386" t="s">
        <v>172</v>
      </c>
      <c r="E386" t="str">
        <f>TRIM(RIGHT(Table1[[#This Row],[Location]],LEN(Table1[[#This Row],[Location]])-FIND(",",Table1[[#This Row],[Location]])))</f>
        <v>Tennessee</v>
      </c>
      <c r="F386" t="s">
        <v>577</v>
      </c>
      <c r="G386" t="s">
        <v>45</v>
      </c>
      <c r="H386" t="s">
        <v>19</v>
      </c>
      <c r="I386">
        <v>17645</v>
      </c>
      <c r="J386">
        <v>40</v>
      </c>
      <c r="K386">
        <v>9673</v>
      </c>
      <c r="L386">
        <v>15088</v>
      </c>
      <c r="M386">
        <v>15</v>
      </c>
      <c r="N386">
        <v>1591.772246</v>
      </c>
      <c r="O386" s="7">
        <f>IFERROR(Table1[[#This Row],[Clicks]]/Table1[[#This Row],[Impressions]],0)</f>
        <v>2.2669311419665629E-3</v>
      </c>
      <c r="P386" s="5">
        <f>IFERROR(Table1[[#This Row],[Total Conversions]]/Table1[[#This Row],[Clicks]],0)</f>
        <v>0.375</v>
      </c>
      <c r="Q386" s="10">
        <f>IFERROR(Table1[[#This Row],[Gross Cost]]/Table1[[#This Row],[Total Conversions]],0)</f>
        <v>106.11814973333334</v>
      </c>
      <c r="R386" s="10">
        <f>IFERROR(Table1[[#This Row],[Gross Cost]]/(Table1[[#This Row],[Impressions]]/1000),0)</f>
        <v>90.210951884386517</v>
      </c>
      <c r="S386" s="5">
        <f>IFERROR(Table1[[#This Row],[Viewable Impressions]]/Table1[[#This Row],[Measurable Impressions]],0)</f>
        <v>0.6411055143160127</v>
      </c>
      <c r="T386" s="10">
        <f>IFERROR(1000*Table1[[#This Row],[Gross Cost]]/Table1[[#This Row],[Viewable Impressions]],0)</f>
        <v>164.55828036803473</v>
      </c>
      <c r="U386" s="10"/>
    </row>
    <row r="387" spans="1:21" x14ac:dyDescent="0.2">
      <c r="A387" t="s">
        <v>173</v>
      </c>
      <c r="B387" t="s">
        <v>21</v>
      </c>
      <c r="C387" t="s">
        <v>15</v>
      </c>
      <c r="D387" t="s">
        <v>174</v>
      </c>
      <c r="E387" t="str">
        <f>TRIM(RIGHT(Table1[[#This Row],[Location]],LEN(Table1[[#This Row],[Location]])-FIND(",",Table1[[#This Row],[Location]])))</f>
        <v>Alabama-Pensacola, Florida</v>
      </c>
      <c r="F387" t="s">
        <v>169</v>
      </c>
      <c r="G387" t="s">
        <v>116</v>
      </c>
      <c r="H387" t="s">
        <v>26</v>
      </c>
      <c r="I387">
        <v>36431</v>
      </c>
      <c r="J387">
        <v>108</v>
      </c>
      <c r="K387">
        <v>31262</v>
      </c>
      <c r="L387">
        <v>35043</v>
      </c>
      <c r="M387">
        <v>11</v>
      </c>
      <c r="N387">
        <v>3285.8345220000001</v>
      </c>
      <c r="O387" s="7">
        <f>IFERROR(Table1[[#This Row],[Clicks]]/Table1[[#This Row],[Impressions]],0)</f>
        <v>2.9645082484697099E-3</v>
      </c>
      <c r="P387" s="5">
        <f>IFERROR(Table1[[#This Row],[Total Conversions]]/Table1[[#This Row],[Clicks]],0)</f>
        <v>0.10185185185185185</v>
      </c>
      <c r="Q387" s="10">
        <f>IFERROR(Table1[[#This Row],[Gross Cost]]/Table1[[#This Row],[Total Conversions]],0)</f>
        <v>298.71222927272726</v>
      </c>
      <c r="R387" s="10">
        <f>IFERROR(Table1[[#This Row],[Gross Cost]]/(Table1[[#This Row],[Impressions]]/1000),0)</f>
        <v>90.193366144217848</v>
      </c>
      <c r="S387" s="5">
        <f>IFERROR(Table1[[#This Row],[Viewable Impressions]]/Table1[[#This Row],[Measurable Impressions]],0)</f>
        <v>0.89210398653083356</v>
      </c>
      <c r="T387" s="10">
        <f>IFERROR(1000*Table1[[#This Row],[Gross Cost]]/Table1[[#This Row],[Viewable Impressions]],0)</f>
        <v>105.10634386795471</v>
      </c>
      <c r="U387" s="10"/>
    </row>
    <row r="388" spans="1:21" x14ac:dyDescent="0.2">
      <c r="A388" t="s">
        <v>979</v>
      </c>
      <c r="B388" t="s">
        <v>14</v>
      </c>
      <c r="C388" t="s">
        <v>15</v>
      </c>
      <c r="D388" t="s">
        <v>77</v>
      </c>
      <c r="E388" t="str">
        <f>TRIM(RIGHT(Table1[[#This Row],[Location]],LEN(Table1[[#This Row],[Location]])-FIND(",",Table1[[#This Row],[Location]])))</f>
        <v>New York</v>
      </c>
      <c r="F388" t="s">
        <v>980</v>
      </c>
      <c r="G388" t="s">
        <v>18</v>
      </c>
      <c r="H388" t="s">
        <v>51</v>
      </c>
      <c r="I388">
        <v>20459</v>
      </c>
      <c r="J388">
        <v>40</v>
      </c>
      <c r="K388">
        <v>12668</v>
      </c>
      <c r="L388">
        <v>18613</v>
      </c>
      <c r="M388">
        <v>4</v>
      </c>
      <c r="N388">
        <v>1842.6065129999999</v>
      </c>
      <c r="O388" s="7">
        <f>IFERROR(Table1[[#This Row],[Clicks]]/Table1[[#This Row],[Impressions]],0)</f>
        <v>1.9551297717385991E-3</v>
      </c>
      <c r="P388" s="5">
        <f>IFERROR(Table1[[#This Row],[Total Conversions]]/Table1[[#This Row],[Clicks]],0)</f>
        <v>0.1</v>
      </c>
      <c r="Q388" s="10">
        <f>IFERROR(Table1[[#This Row],[Gross Cost]]/Table1[[#This Row],[Total Conversions]],0)</f>
        <v>460.65162824999999</v>
      </c>
      <c r="R388" s="10">
        <f>IFERROR(Table1[[#This Row],[Gross Cost]]/(Table1[[#This Row],[Impressions]]/1000),0)</f>
        <v>90.063371279143652</v>
      </c>
      <c r="S388" s="5">
        <f>IFERROR(Table1[[#This Row],[Viewable Impressions]]/Table1[[#This Row],[Measurable Impressions]],0)</f>
        <v>0.68059958093805406</v>
      </c>
      <c r="T388" s="10">
        <f>IFERROR(1000*Table1[[#This Row],[Gross Cost]]/Table1[[#This Row],[Viewable Impressions]],0)</f>
        <v>145.453624329018</v>
      </c>
      <c r="U388" s="10"/>
    </row>
    <row r="389" spans="1:21" x14ac:dyDescent="0.2">
      <c r="A389" t="s">
        <v>486</v>
      </c>
      <c r="B389" t="s">
        <v>14</v>
      </c>
      <c r="C389" t="s">
        <v>30</v>
      </c>
      <c r="D389" t="s">
        <v>23</v>
      </c>
      <c r="E389" t="str">
        <f>TRIM(RIGHT(Table1[[#This Row],[Location]],LEN(Table1[[#This Row],[Location]])-FIND(",",Table1[[#This Row],[Location]])))</f>
        <v>Florida</v>
      </c>
      <c r="F389" t="s">
        <v>485</v>
      </c>
      <c r="G389" t="s">
        <v>45</v>
      </c>
      <c r="H389" t="s">
        <v>19</v>
      </c>
      <c r="I389">
        <v>17228</v>
      </c>
      <c r="J389">
        <v>30</v>
      </c>
      <c r="K389">
        <v>11116</v>
      </c>
      <c r="L389">
        <v>16044</v>
      </c>
      <c r="M389">
        <v>3</v>
      </c>
      <c r="N389">
        <v>1547.513459</v>
      </c>
      <c r="O389" s="7">
        <f>IFERROR(Table1[[#This Row],[Clicks]]/Table1[[#This Row],[Impressions]],0)</f>
        <v>1.7413512885999535E-3</v>
      </c>
      <c r="P389" s="5">
        <f>IFERROR(Table1[[#This Row],[Total Conversions]]/Table1[[#This Row],[Clicks]],0)</f>
        <v>0.1</v>
      </c>
      <c r="Q389" s="10">
        <f>IFERROR(Table1[[#This Row],[Gross Cost]]/Table1[[#This Row],[Total Conversions]],0)</f>
        <v>515.83781966666663</v>
      </c>
      <c r="R389" s="10">
        <f>IFERROR(Table1[[#This Row],[Gross Cost]]/(Table1[[#This Row],[Impressions]]/1000),0)</f>
        <v>89.825485198514045</v>
      </c>
      <c r="S389" s="5">
        <f>IFERROR(Table1[[#This Row],[Viewable Impressions]]/Table1[[#This Row],[Measurable Impressions]],0)</f>
        <v>0.6928446771378709</v>
      </c>
      <c r="T389" s="10">
        <f>IFERROR(1000*Table1[[#This Row],[Gross Cost]]/Table1[[#This Row],[Viewable Impressions]],0)</f>
        <v>139.21495672903922</v>
      </c>
      <c r="U389" s="10"/>
    </row>
    <row r="390" spans="1:21" x14ac:dyDescent="0.2">
      <c r="A390" t="s">
        <v>719</v>
      </c>
      <c r="B390" t="s">
        <v>14</v>
      </c>
      <c r="C390" t="s">
        <v>15</v>
      </c>
      <c r="D390" t="s">
        <v>54</v>
      </c>
      <c r="E390" t="str">
        <f>TRIM(RIGHT(Table1[[#This Row],[Location]],LEN(Table1[[#This Row],[Location]])-FIND(",",Table1[[#This Row],[Location]])))</f>
        <v>Florida</v>
      </c>
      <c r="F390" t="s">
        <v>717</v>
      </c>
      <c r="G390" t="s">
        <v>32</v>
      </c>
      <c r="H390" t="s">
        <v>26</v>
      </c>
      <c r="I390">
        <v>58477</v>
      </c>
      <c r="J390">
        <v>135</v>
      </c>
      <c r="K390">
        <v>43554</v>
      </c>
      <c r="L390">
        <v>56558</v>
      </c>
      <c r="M390">
        <v>19</v>
      </c>
      <c r="N390">
        <v>5247.6238830000002</v>
      </c>
      <c r="O390" s="7">
        <f>IFERROR(Table1[[#This Row],[Clicks]]/Table1[[#This Row],[Impressions]],0)</f>
        <v>2.3085999623783712E-3</v>
      </c>
      <c r="P390" s="5">
        <f>IFERROR(Table1[[#This Row],[Total Conversions]]/Table1[[#This Row],[Clicks]],0)</f>
        <v>0.14074074074074075</v>
      </c>
      <c r="Q390" s="10">
        <f>IFERROR(Table1[[#This Row],[Gross Cost]]/Table1[[#This Row],[Total Conversions]],0)</f>
        <v>276.19073068421056</v>
      </c>
      <c r="R390" s="10">
        <f>IFERROR(Table1[[#This Row],[Gross Cost]]/(Table1[[#This Row],[Impressions]]/1000),0)</f>
        <v>89.738254065701057</v>
      </c>
      <c r="S390" s="5">
        <f>IFERROR(Table1[[#This Row],[Viewable Impressions]]/Table1[[#This Row],[Measurable Impressions]],0)</f>
        <v>0.77007673538668264</v>
      </c>
      <c r="T390" s="10">
        <f>IFERROR(1000*Table1[[#This Row],[Gross Cost]]/Table1[[#This Row],[Viewable Impressions]],0)</f>
        <v>120.48546363135419</v>
      </c>
      <c r="U390" s="10"/>
    </row>
    <row r="391" spans="1:21" x14ac:dyDescent="0.2">
      <c r="A391" t="s">
        <v>830</v>
      </c>
      <c r="B391" t="s">
        <v>21</v>
      </c>
      <c r="C391" t="s">
        <v>22</v>
      </c>
      <c r="D391" t="s">
        <v>83</v>
      </c>
      <c r="E391" t="str">
        <f>TRIM(RIGHT(Table1[[#This Row],[Location]],LEN(Table1[[#This Row],[Location]])-FIND(",",Table1[[#This Row],[Location]])))</f>
        <v>Florida</v>
      </c>
      <c r="F391" t="s">
        <v>831</v>
      </c>
      <c r="G391" t="s">
        <v>326</v>
      </c>
      <c r="H391" t="s">
        <v>26</v>
      </c>
      <c r="I391">
        <v>16956</v>
      </c>
      <c r="J391">
        <v>65</v>
      </c>
      <c r="K391">
        <v>7553</v>
      </c>
      <c r="L391">
        <v>15201</v>
      </c>
      <c r="M391">
        <v>3</v>
      </c>
      <c r="N391">
        <v>1502.6801390000001</v>
      </c>
      <c r="O391" s="7">
        <f>IFERROR(Table1[[#This Row],[Clicks]]/Table1[[#This Row],[Impressions]],0)</f>
        <v>3.833451285680585E-3</v>
      </c>
      <c r="P391" s="5">
        <f>IFERROR(Table1[[#This Row],[Total Conversions]]/Table1[[#This Row],[Clicks]],0)</f>
        <v>4.6153846153846156E-2</v>
      </c>
      <c r="Q391" s="10">
        <f>IFERROR(Table1[[#This Row],[Gross Cost]]/Table1[[#This Row],[Total Conversions]],0)</f>
        <v>500.8933796666667</v>
      </c>
      <c r="R391" s="10">
        <f>IFERROR(Table1[[#This Row],[Gross Cost]]/(Table1[[#This Row],[Impressions]]/1000),0)</f>
        <v>88.622324781788166</v>
      </c>
      <c r="S391" s="5">
        <f>IFERROR(Table1[[#This Row],[Viewable Impressions]]/Table1[[#This Row],[Measurable Impressions]],0)</f>
        <v>0.49687520557858034</v>
      </c>
      <c r="T391" s="10">
        <f>IFERROR(1000*Table1[[#This Row],[Gross Cost]]/Table1[[#This Row],[Viewable Impressions]],0)</f>
        <v>198.95142843903085</v>
      </c>
      <c r="U391" s="10"/>
    </row>
    <row r="392" spans="1:21" x14ac:dyDescent="0.2">
      <c r="A392" t="s">
        <v>868</v>
      </c>
      <c r="B392" t="s">
        <v>60</v>
      </c>
      <c r="C392" t="s">
        <v>41</v>
      </c>
      <c r="D392" t="s">
        <v>38</v>
      </c>
      <c r="E392" t="str">
        <f>TRIM(RIGHT(Table1[[#This Row],[Location]],LEN(Table1[[#This Row],[Location]])-FIND(",",Table1[[#This Row],[Location]])))</f>
        <v>Tennessee</v>
      </c>
      <c r="F392" t="s">
        <v>864</v>
      </c>
      <c r="G392" t="s">
        <v>35</v>
      </c>
      <c r="H392" t="s">
        <v>26</v>
      </c>
      <c r="I392">
        <v>20417</v>
      </c>
      <c r="J392">
        <v>86</v>
      </c>
      <c r="K392">
        <v>1016</v>
      </c>
      <c r="L392">
        <v>13468</v>
      </c>
      <c r="M392">
        <v>5</v>
      </c>
      <c r="N392">
        <v>1805.6005130000001</v>
      </c>
      <c r="O392" s="7">
        <f>IFERROR(Table1[[#This Row],[Clicks]]/Table1[[#This Row],[Impressions]],0)</f>
        <v>4.2121761277366899E-3</v>
      </c>
      <c r="P392" s="5">
        <f>IFERROR(Table1[[#This Row],[Total Conversions]]/Table1[[#This Row],[Clicks]],0)</f>
        <v>5.8139534883720929E-2</v>
      </c>
      <c r="Q392" s="10">
        <f>IFERROR(Table1[[#This Row],[Gross Cost]]/Table1[[#This Row],[Total Conversions]],0)</f>
        <v>361.1201026</v>
      </c>
      <c r="R392" s="10">
        <f>IFERROR(Table1[[#This Row],[Gross Cost]]/(Table1[[#This Row],[Impressions]]/1000),0)</f>
        <v>88.436132291717684</v>
      </c>
      <c r="S392" s="5">
        <f>IFERROR(Table1[[#This Row],[Viewable Impressions]]/Table1[[#This Row],[Measurable Impressions]],0)</f>
        <v>7.5438075438075444E-2</v>
      </c>
      <c r="T392" s="10">
        <f>IFERROR(1000*Table1[[#This Row],[Gross Cost]]/Table1[[#This Row],[Viewable Impressions]],0)</f>
        <v>1777.1658592519686</v>
      </c>
      <c r="U392" s="10"/>
    </row>
    <row r="393" spans="1:21" x14ac:dyDescent="0.2">
      <c r="A393" t="s">
        <v>278</v>
      </c>
      <c r="B393" t="s">
        <v>14</v>
      </c>
      <c r="C393" t="s">
        <v>22</v>
      </c>
      <c r="D393" t="s">
        <v>77</v>
      </c>
      <c r="E393" t="str">
        <f>TRIM(RIGHT(Table1[[#This Row],[Location]],LEN(Table1[[#This Row],[Location]])-FIND(",",Table1[[#This Row],[Location]])))</f>
        <v>New York</v>
      </c>
      <c r="F393" t="s">
        <v>277</v>
      </c>
      <c r="G393" t="s">
        <v>45</v>
      </c>
      <c r="H393" t="s">
        <v>19</v>
      </c>
      <c r="I393">
        <v>18028</v>
      </c>
      <c r="J393">
        <v>89</v>
      </c>
      <c r="K393">
        <v>1851</v>
      </c>
      <c r="L393">
        <v>14926</v>
      </c>
      <c r="M393">
        <v>24</v>
      </c>
      <c r="N393">
        <v>1572.24171</v>
      </c>
      <c r="O393" s="7">
        <f>IFERROR(Table1[[#This Row],[Clicks]]/Table1[[#This Row],[Impressions]],0)</f>
        <v>4.9367650321721765E-3</v>
      </c>
      <c r="P393" s="5">
        <f>IFERROR(Table1[[#This Row],[Total Conversions]]/Table1[[#This Row],[Clicks]],0)</f>
        <v>0.2696629213483146</v>
      </c>
      <c r="Q393" s="10">
        <f>IFERROR(Table1[[#This Row],[Gross Cost]]/Table1[[#This Row],[Total Conversions]],0)</f>
        <v>65.510071249999996</v>
      </c>
      <c r="R393" s="10">
        <f>IFERROR(Table1[[#This Row],[Gross Cost]]/(Table1[[#This Row],[Impressions]]/1000),0)</f>
        <v>87.21109995562459</v>
      </c>
      <c r="S393" s="5">
        <f>IFERROR(Table1[[#This Row],[Viewable Impressions]]/Table1[[#This Row],[Measurable Impressions]],0)</f>
        <v>0.1240117915047568</v>
      </c>
      <c r="T393" s="10">
        <f>IFERROR(1000*Table1[[#This Row],[Gross Cost]]/Table1[[#This Row],[Viewable Impressions]],0)</f>
        <v>849.40124797406804</v>
      </c>
      <c r="U393" s="10"/>
    </row>
    <row r="394" spans="1:21" x14ac:dyDescent="0.2">
      <c r="A394" t="s">
        <v>904</v>
      </c>
      <c r="B394" t="s">
        <v>21</v>
      </c>
      <c r="C394" t="s">
        <v>41</v>
      </c>
      <c r="D394" t="s">
        <v>38</v>
      </c>
      <c r="E394" t="str">
        <f>TRIM(RIGHT(Table1[[#This Row],[Location]],LEN(Table1[[#This Row],[Location]])-FIND(",",Table1[[#This Row],[Location]])))</f>
        <v>Tennessee</v>
      </c>
      <c r="F394" t="s">
        <v>905</v>
      </c>
      <c r="G394" t="s">
        <v>45</v>
      </c>
      <c r="H394" t="s">
        <v>26</v>
      </c>
      <c r="I394">
        <v>17561</v>
      </c>
      <c r="J394">
        <v>50</v>
      </c>
      <c r="K394">
        <v>2960</v>
      </c>
      <c r="L394">
        <v>9953</v>
      </c>
      <c r="M394">
        <v>10</v>
      </c>
      <c r="N394">
        <v>1519.90401</v>
      </c>
      <c r="O394" s="7">
        <f>IFERROR(Table1[[#This Row],[Clicks]]/Table1[[#This Row],[Impressions]],0)</f>
        <v>2.8472182677524061E-3</v>
      </c>
      <c r="P394" s="5">
        <f>IFERROR(Table1[[#This Row],[Total Conversions]]/Table1[[#This Row],[Clicks]],0)</f>
        <v>0.2</v>
      </c>
      <c r="Q394" s="10">
        <f>IFERROR(Table1[[#This Row],[Gross Cost]]/Table1[[#This Row],[Total Conversions]],0)</f>
        <v>151.99040099999999</v>
      </c>
      <c r="R394" s="10">
        <f>IFERROR(Table1[[#This Row],[Gross Cost]]/(Table1[[#This Row],[Impressions]]/1000),0)</f>
        <v>86.549969250042707</v>
      </c>
      <c r="S394" s="5">
        <f>IFERROR(Table1[[#This Row],[Viewable Impressions]]/Table1[[#This Row],[Measurable Impressions]],0)</f>
        <v>0.29739776951672864</v>
      </c>
      <c r="T394" s="10">
        <f>IFERROR(1000*Table1[[#This Row],[Gross Cost]]/Table1[[#This Row],[Viewable Impressions]],0)</f>
        <v>513.48108445945945</v>
      </c>
      <c r="U394" s="10"/>
    </row>
    <row r="395" spans="1:21" x14ac:dyDescent="0.2">
      <c r="A395" t="s">
        <v>730</v>
      </c>
      <c r="B395" t="s">
        <v>21</v>
      </c>
      <c r="C395" t="s">
        <v>22</v>
      </c>
      <c r="D395" t="s">
        <v>54</v>
      </c>
      <c r="E395" t="str">
        <f>TRIM(RIGHT(Table1[[#This Row],[Location]],LEN(Table1[[#This Row],[Location]])-FIND(",",Table1[[#This Row],[Location]])))</f>
        <v>Florida</v>
      </c>
      <c r="F395" t="s">
        <v>731</v>
      </c>
      <c r="G395" t="s">
        <v>45</v>
      </c>
      <c r="H395" t="s">
        <v>26</v>
      </c>
      <c r="I395">
        <v>20165</v>
      </c>
      <c r="J395">
        <v>60</v>
      </c>
      <c r="K395">
        <v>6601</v>
      </c>
      <c r="L395">
        <v>18909</v>
      </c>
      <c r="M395">
        <v>10</v>
      </c>
      <c r="N395">
        <v>1743.0786869999999</v>
      </c>
      <c r="O395" s="7">
        <f>IFERROR(Table1[[#This Row],[Clicks]]/Table1[[#This Row],[Impressions]],0)</f>
        <v>2.9754525167369206E-3</v>
      </c>
      <c r="P395" s="5">
        <f>IFERROR(Table1[[#This Row],[Total Conversions]]/Table1[[#This Row],[Clicks]],0)</f>
        <v>0.16666666666666666</v>
      </c>
      <c r="Q395" s="10">
        <f>IFERROR(Table1[[#This Row],[Gross Cost]]/Table1[[#This Row],[Total Conversions]],0)</f>
        <v>174.3078687</v>
      </c>
      <c r="R395" s="10">
        <f>IFERROR(Table1[[#This Row],[Gross Cost]]/(Table1[[#This Row],[Impressions]]/1000),0)</f>
        <v>86.440797768410619</v>
      </c>
      <c r="S395" s="5">
        <f>IFERROR(Table1[[#This Row],[Viewable Impressions]]/Table1[[#This Row],[Measurable Impressions]],0)</f>
        <v>0.34909302448569463</v>
      </c>
      <c r="T395" s="10">
        <f>IFERROR(1000*Table1[[#This Row],[Gross Cost]]/Table1[[#This Row],[Viewable Impressions]],0)</f>
        <v>264.06282184517494</v>
      </c>
      <c r="U395" s="10"/>
    </row>
    <row r="396" spans="1:21" x14ac:dyDescent="0.2">
      <c r="A396" t="s">
        <v>56</v>
      </c>
      <c r="B396" t="s">
        <v>14</v>
      </c>
      <c r="C396" t="s">
        <v>41</v>
      </c>
      <c r="D396" t="s">
        <v>34</v>
      </c>
      <c r="E396" t="str">
        <f>TRIM(RIGHT(Table1[[#This Row],[Location]],LEN(Table1[[#This Row],[Location]])-FIND(",",Table1[[#This Row],[Location]])))</f>
        <v>Illinois</v>
      </c>
      <c r="F396" t="s">
        <v>57</v>
      </c>
      <c r="G396" t="s">
        <v>35</v>
      </c>
      <c r="H396" t="s">
        <v>51</v>
      </c>
      <c r="I396">
        <v>81905</v>
      </c>
      <c r="J396">
        <v>220</v>
      </c>
      <c r="K396">
        <v>61995</v>
      </c>
      <c r="L396">
        <v>71110</v>
      </c>
      <c r="M396">
        <v>24</v>
      </c>
      <c r="N396">
        <v>7065.6692800000001</v>
      </c>
      <c r="O396" s="7">
        <f>IFERROR(Table1[[#This Row],[Clicks]]/Table1[[#This Row],[Impressions]],0)</f>
        <v>2.6860387033758623E-3</v>
      </c>
      <c r="P396" s="5">
        <f>IFERROR(Table1[[#This Row],[Total Conversions]]/Table1[[#This Row],[Clicks]],0)</f>
        <v>0.10909090909090909</v>
      </c>
      <c r="Q396" s="10">
        <f>IFERROR(Table1[[#This Row],[Gross Cost]]/Table1[[#This Row],[Total Conversions]],0)</f>
        <v>294.40288666666669</v>
      </c>
      <c r="R396" s="10">
        <f>IFERROR(Table1[[#This Row],[Gross Cost]]/(Table1[[#This Row],[Impressions]]/1000),0)</f>
        <v>86.266641596972107</v>
      </c>
      <c r="S396" s="5">
        <f>IFERROR(Table1[[#This Row],[Viewable Impressions]]/Table1[[#This Row],[Measurable Impressions]],0)</f>
        <v>0.87181830966108842</v>
      </c>
      <c r="T396" s="10">
        <f>IFERROR(1000*Table1[[#This Row],[Gross Cost]]/Table1[[#This Row],[Viewable Impressions]],0)</f>
        <v>113.97159899991935</v>
      </c>
      <c r="U396" s="10"/>
    </row>
    <row r="397" spans="1:21" x14ac:dyDescent="0.2">
      <c r="A397" t="s">
        <v>727</v>
      </c>
      <c r="B397" t="s">
        <v>21</v>
      </c>
      <c r="C397" t="s">
        <v>30</v>
      </c>
      <c r="D397" t="s">
        <v>83</v>
      </c>
      <c r="E397" t="str">
        <f>TRIM(RIGHT(Table1[[#This Row],[Location]],LEN(Table1[[#This Row],[Location]])-FIND(",",Table1[[#This Row],[Location]])))</f>
        <v>Florida</v>
      </c>
      <c r="F397" t="s">
        <v>722</v>
      </c>
      <c r="G397" t="s">
        <v>166</v>
      </c>
      <c r="H397" t="s">
        <v>26</v>
      </c>
      <c r="I397">
        <v>22175</v>
      </c>
      <c r="J397">
        <v>140</v>
      </c>
      <c r="K397">
        <v>14910</v>
      </c>
      <c r="L397">
        <v>20074</v>
      </c>
      <c r="M397">
        <v>6</v>
      </c>
      <c r="N397">
        <v>1909.2774830000001</v>
      </c>
      <c r="O397" s="7">
        <f>IFERROR(Table1[[#This Row],[Clicks]]/Table1[[#This Row],[Impressions]],0)</f>
        <v>6.3134160090191661E-3</v>
      </c>
      <c r="P397" s="5">
        <f>IFERROR(Table1[[#This Row],[Total Conversions]]/Table1[[#This Row],[Clicks]],0)</f>
        <v>4.2857142857142858E-2</v>
      </c>
      <c r="Q397" s="10">
        <f>IFERROR(Table1[[#This Row],[Gross Cost]]/Table1[[#This Row],[Total Conversions]],0)</f>
        <v>318.21291383333335</v>
      </c>
      <c r="R397" s="10">
        <f>IFERROR(Table1[[#This Row],[Gross Cost]]/(Table1[[#This Row],[Impressions]]/1000),0)</f>
        <v>86.100450191657274</v>
      </c>
      <c r="S397" s="5">
        <f>IFERROR(Table1[[#This Row],[Viewable Impressions]]/Table1[[#This Row],[Measurable Impressions]],0)</f>
        <v>0.74275181827239212</v>
      </c>
      <c r="T397" s="10">
        <f>IFERROR(1000*Table1[[#This Row],[Gross Cost]]/Table1[[#This Row],[Viewable Impressions]],0)</f>
        <v>128.0534864520456</v>
      </c>
      <c r="U397" s="10"/>
    </row>
    <row r="398" spans="1:21" x14ac:dyDescent="0.2">
      <c r="A398" t="s">
        <v>664</v>
      </c>
      <c r="B398" t="s">
        <v>21</v>
      </c>
      <c r="C398" t="s">
        <v>41</v>
      </c>
      <c r="D398" t="s">
        <v>77</v>
      </c>
      <c r="E398" t="str">
        <f>TRIM(RIGHT(Table1[[#This Row],[Location]],LEN(Table1[[#This Row],[Location]])-FIND(",",Table1[[#This Row],[Location]])))</f>
        <v>New York</v>
      </c>
      <c r="F398" t="s">
        <v>660</v>
      </c>
      <c r="G398" t="s">
        <v>45</v>
      </c>
      <c r="H398" t="s">
        <v>26</v>
      </c>
      <c r="I398">
        <v>20486</v>
      </c>
      <c r="J398">
        <v>42</v>
      </c>
      <c r="K398">
        <v>14583</v>
      </c>
      <c r="L398">
        <v>19860</v>
      </c>
      <c r="M398">
        <v>2</v>
      </c>
      <c r="N398">
        <v>1718.513762</v>
      </c>
      <c r="O398" s="7">
        <f>IFERROR(Table1[[#This Row],[Clicks]]/Table1[[#This Row],[Impressions]],0)</f>
        <v>2.0501806111490775E-3</v>
      </c>
      <c r="P398" s="5">
        <f>IFERROR(Table1[[#This Row],[Total Conversions]]/Table1[[#This Row],[Clicks]],0)</f>
        <v>4.7619047619047616E-2</v>
      </c>
      <c r="Q398" s="10">
        <f>IFERROR(Table1[[#This Row],[Gross Cost]]/Table1[[#This Row],[Total Conversions]],0)</f>
        <v>859.25688100000002</v>
      </c>
      <c r="R398" s="10">
        <f>IFERROR(Table1[[#This Row],[Gross Cost]]/(Table1[[#This Row],[Impressions]]/1000),0)</f>
        <v>83.887228448696675</v>
      </c>
      <c r="S398" s="5">
        <f>IFERROR(Table1[[#This Row],[Viewable Impressions]]/Table1[[#This Row],[Measurable Impressions]],0)</f>
        <v>0.73429003021148032</v>
      </c>
      <c r="T398" s="10">
        <f>IFERROR(1000*Table1[[#This Row],[Gross Cost]]/Table1[[#This Row],[Viewable Impressions]],0)</f>
        <v>117.84363724885141</v>
      </c>
      <c r="U398" s="10"/>
    </row>
    <row r="399" spans="1:21" x14ac:dyDescent="0.2">
      <c r="A399" t="s">
        <v>494</v>
      </c>
      <c r="B399" t="s">
        <v>60</v>
      </c>
      <c r="C399" t="s">
        <v>41</v>
      </c>
      <c r="D399" t="s">
        <v>77</v>
      </c>
      <c r="E399" t="str">
        <f>TRIM(RIGHT(Table1[[#This Row],[Location]],LEN(Table1[[#This Row],[Location]])-FIND(",",Table1[[#This Row],[Location]])))</f>
        <v>New York</v>
      </c>
      <c r="F399" t="s">
        <v>492</v>
      </c>
      <c r="G399" t="s">
        <v>18</v>
      </c>
      <c r="H399" t="s">
        <v>26</v>
      </c>
      <c r="I399">
        <v>58938</v>
      </c>
      <c r="J399">
        <v>175</v>
      </c>
      <c r="K399">
        <v>41861</v>
      </c>
      <c r="L399">
        <v>55929</v>
      </c>
      <c r="M399">
        <v>9</v>
      </c>
      <c r="N399">
        <v>4881.1982690000004</v>
      </c>
      <c r="O399" s="7">
        <f>IFERROR(Table1[[#This Row],[Clicks]]/Table1[[#This Row],[Impressions]],0)</f>
        <v>2.9692218941938988E-3</v>
      </c>
      <c r="P399" s="5">
        <f>IFERROR(Table1[[#This Row],[Total Conversions]]/Table1[[#This Row],[Clicks]],0)</f>
        <v>5.1428571428571428E-2</v>
      </c>
      <c r="Q399" s="10">
        <f>IFERROR(Table1[[#This Row],[Gross Cost]]/Table1[[#This Row],[Total Conversions]],0)</f>
        <v>542.35536322222231</v>
      </c>
      <c r="R399" s="10">
        <f>IFERROR(Table1[[#This Row],[Gross Cost]]/(Table1[[#This Row],[Impressions]]/1000),0)</f>
        <v>82.819204401235197</v>
      </c>
      <c r="S399" s="5">
        <f>IFERROR(Table1[[#This Row],[Viewable Impressions]]/Table1[[#This Row],[Measurable Impressions]],0)</f>
        <v>0.74846680612919947</v>
      </c>
      <c r="T399" s="10">
        <f>IFERROR(1000*Table1[[#This Row],[Gross Cost]]/Table1[[#This Row],[Viewable Impressions]],0)</f>
        <v>116.60491314110988</v>
      </c>
      <c r="U399" s="10"/>
    </row>
    <row r="400" spans="1:21" x14ac:dyDescent="0.2">
      <c r="A400" t="s">
        <v>985</v>
      </c>
      <c r="B400" t="s">
        <v>60</v>
      </c>
      <c r="C400" t="s">
        <v>41</v>
      </c>
      <c r="D400" t="s">
        <v>130</v>
      </c>
      <c r="E400" t="str">
        <f>TRIM(RIGHT(Table1[[#This Row],[Location]],LEN(Table1[[#This Row],[Location]])-FIND(",",Table1[[#This Row],[Location]])))</f>
        <v>Michigan</v>
      </c>
      <c r="F400" t="s">
        <v>986</v>
      </c>
      <c r="G400" t="s">
        <v>25</v>
      </c>
      <c r="H400" t="s">
        <v>26</v>
      </c>
      <c r="I400">
        <v>23410</v>
      </c>
      <c r="J400">
        <v>66</v>
      </c>
      <c r="K400">
        <v>13626</v>
      </c>
      <c r="L400">
        <v>22109</v>
      </c>
      <c r="M400">
        <v>6</v>
      </c>
      <c r="N400">
        <v>1930.180523</v>
      </c>
      <c r="O400" s="7">
        <f>IFERROR(Table1[[#This Row],[Clicks]]/Table1[[#This Row],[Impressions]],0)</f>
        <v>2.8193079880392993E-3</v>
      </c>
      <c r="P400" s="5">
        <f>IFERROR(Table1[[#This Row],[Total Conversions]]/Table1[[#This Row],[Clicks]],0)</f>
        <v>9.0909090909090912E-2</v>
      </c>
      <c r="Q400" s="10">
        <f>IFERROR(Table1[[#This Row],[Gross Cost]]/Table1[[#This Row],[Total Conversions]],0)</f>
        <v>321.69675383333333</v>
      </c>
      <c r="R400" s="10">
        <f>IFERROR(Table1[[#This Row],[Gross Cost]]/(Table1[[#This Row],[Impressions]]/1000),0)</f>
        <v>82.451111618966252</v>
      </c>
      <c r="S400" s="5">
        <f>IFERROR(Table1[[#This Row],[Viewable Impressions]]/Table1[[#This Row],[Measurable Impressions]],0)</f>
        <v>0.61631009995929265</v>
      </c>
      <c r="T400" s="10">
        <f>IFERROR(1000*Table1[[#This Row],[Gross Cost]]/Table1[[#This Row],[Viewable Impressions]],0)</f>
        <v>141.65422890063115</v>
      </c>
      <c r="U400" s="10"/>
    </row>
    <row r="401" spans="1:21" x14ac:dyDescent="0.2">
      <c r="A401" t="s">
        <v>932</v>
      </c>
      <c r="B401" t="s">
        <v>14</v>
      </c>
      <c r="C401" t="s">
        <v>41</v>
      </c>
      <c r="D401" t="s">
        <v>38</v>
      </c>
      <c r="E401" t="str">
        <f>TRIM(RIGHT(Table1[[#This Row],[Location]],LEN(Table1[[#This Row],[Location]])-FIND(",",Table1[[#This Row],[Location]])))</f>
        <v>Tennessee</v>
      </c>
      <c r="F401" t="s">
        <v>918</v>
      </c>
      <c r="G401" t="s">
        <v>35</v>
      </c>
      <c r="H401" t="s">
        <v>26</v>
      </c>
      <c r="I401">
        <v>61574</v>
      </c>
      <c r="J401">
        <v>280</v>
      </c>
      <c r="K401">
        <v>18717</v>
      </c>
      <c r="L401">
        <v>46367</v>
      </c>
      <c r="M401">
        <v>8</v>
      </c>
      <c r="N401">
        <v>4999.6652050000002</v>
      </c>
      <c r="O401" s="7">
        <f>IFERROR(Table1[[#This Row],[Clicks]]/Table1[[#This Row],[Impressions]],0)</f>
        <v>4.5473738915776142E-3</v>
      </c>
      <c r="P401" s="5">
        <f>IFERROR(Table1[[#This Row],[Total Conversions]]/Table1[[#This Row],[Clicks]],0)</f>
        <v>2.8571428571428571E-2</v>
      </c>
      <c r="Q401" s="10">
        <f>IFERROR(Table1[[#This Row],[Gross Cost]]/Table1[[#This Row],[Total Conversions]],0)</f>
        <v>624.95815062500003</v>
      </c>
      <c r="R401" s="10">
        <f>IFERROR(Table1[[#This Row],[Gross Cost]]/(Table1[[#This Row],[Impressions]]/1000),0)</f>
        <v>81.197667928021573</v>
      </c>
      <c r="S401" s="5">
        <f>IFERROR(Table1[[#This Row],[Viewable Impressions]]/Table1[[#This Row],[Measurable Impressions]],0)</f>
        <v>0.40367071408544869</v>
      </c>
      <c r="T401" s="10">
        <f>IFERROR(1000*Table1[[#This Row],[Gross Cost]]/Table1[[#This Row],[Viewable Impressions]],0)</f>
        <v>267.11894026820539</v>
      </c>
      <c r="U401" s="10"/>
    </row>
    <row r="402" spans="1:21" x14ac:dyDescent="0.2">
      <c r="A402" t="s">
        <v>134</v>
      </c>
      <c r="B402" t="s">
        <v>14</v>
      </c>
      <c r="C402" t="s">
        <v>22</v>
      </c>
      <c r="D402" t="s">
        <v>77</v>
      </c>
      <c r="E402" t="str">
        <f>TRIM(RIGHT(Table1[[#This Row],[Location]],LEN(Table1[[#This Row],[Location]])-FIND(",",Table1[[#This Row],[Location]])))</f>
        <v>New York</v>
      </c>
      <c r="F402" t="s">
        <v>114</v>
      </c>
      <c r="G402" t="s">
        <v>135</v>
      </c>
      <c r="H402" t="s">
        <v>19</v>
      </c>
      <c r="I402">
        <v>18313</v>
      </c>
      <c r="J402">
        <v>60</v>
      </c>
      <c r="K402">
        <v>9481</v>
      </c>
      <c r="L402">
        <v>16300</v>
      </c>
      <c r="M402">
        <v>4</v>
      </c>
      <c r="N402">
        <v>1456.9341870000001</v>
      </c>
      <c r="O402" s="7">
        <f>IFERROR(Table1[[#This Row],[Clicks]]/Table1[[#This Row],[Impressions]],0)</f>
        <v>3.2763610549882598E-3</v>
      </c>
      <c r="P402" s="5">
        <f>IFERROR(Table1[[#This Row],[Total Conversions]]/Table1[[#This Row],[Clicks]],0)</f>
        <v>6.6666666666666666E-2</v>
      </c>
      <c r="Q402" s="10">
        <f>IFERROR(Table1[[#This Row],[Gross Cost]]/Table1[[#This Row],[Total Conversions]],0)</f>
        <v>364.23354675000002</v>
      </c>
      <c r="R402" s="10">
        <f>IFERROR(Table1[[#This Row],[Gross Cost]]/(Table1[[#This Row],[Impressions]]/1000),0)</f>
        <v>79.557373832796387</v>
      </c>
      <c r="S402" s="5">
        <f>IFERROR(Table1[[#This Row],[Viewable Impressions]]/Table1[[#This Row],[Measurable Impressions]],0)</f>
        <v>0.58165644171779141</v>
      </c>
      <c r="T402" s="10">
        <f>IFERROR(1000*Table1[[#This Row],[Gross Cost]]/Table1[[#This Row],[Viewable Impressions]],0)</f>
        <v>153.66883103048204</v>
      </c>
      <c r="U402" s="10"/>
    </row>
    <row r="403" spans="1:21" x14ac:dyDescent="0.2">
      <c r="A403" t="s">
        <v>302</v>
      </c>
      <c r="B403" t="s">
        <v>21</v>
      </c>
      <c r="C403" t="s">
        <v>30</v>
      </c>
      <c r="D403" t="s">
        <v>303</v>
      </c>
      <c r="E403" t="str">
        <f>TRIM(RIGHT(Table1[[#This Row],[Location]],LEN(Table1[[#This Row],[Location]])-FIND(",",Table1[[#This Row],[Location]])))</f>
        <v>Georgia</v>
      </c>
      <c r="F403" t="s">
        <v>296</v>
      </c>
      <c r="G403" t="s">
        <v>166</v>
      </c>
      <c r="H403" t="s">
        <v>26</v>
      </c>
      <c r="I403">
        <v>83957</v>
      </c>
      <c r="J403">
        <v>185</v>
      </c>
      <c r="K403">
        <v>1420</v>
      </c>
      <c r="L403">
        <v>69246</v>
      </c>
      <c r="M403">
        <v>19</v>
      </c>
      <c r="N403">
        <v>6651.51451</v>
      </c>
      <c r="O403" s="7">
        <f>IFERROR(Table1[[#This Row],[Clicks]]/Table1[[#This Row],[Impressions]],0)</f>
        <v>2.2035089390997774E-3</v>
      </c>
      <c r="P403" s="5">
        <f>IFERROR(Table1[[#This Row],[Total Conversions]]/Table1[[#This Row],[Clicks]],0)</f>
        <v>0.10270270270270271</v>
      </c>
      <c r="Q403" s="10">
        <f>IFERROR(Table1[[#This Row],[Gross Cost]]/Table1[[#This Row],[Total Conversions]],0)</f>
        <v>350.07971105263158</v>
      </c>
      <c r="R403" s="10">
        <f>IFERROR(Table1[[#This Row],[Gross Cost]]/(Table1[[#This Row],[Impressions]]/1000),0)</f>
        <v>79.225252331550678</v>
      </c>
      <c r="S403" s="5">
        <f>IFERROR(Table1[[#This Row],[Viewable Impressions]]/Table1[[#This Row],[Measurable Impressions]],0)</f>
        <v>2.0506599659186091E-2</v>
      </c>
      <c r="T403" s="10">
        <f>IFERROR(1000*Table1[[#This Row],[Gross Cost]]/Table1[[#This Row],[Viewable Impressions]],0)</f>
        <v>4684.1651478873237</v>
      </c>
      <c r="U403" s="10"/>
    </row>
    <row r="404" spans="1:21" x14ac:dyDescent="0.2">
      <c r="A404" t="s">
        <v>559</v>
      </c>
      <c r="B404" t="s">
        <v>14</v>
      </c>
      <c r="C404" t="s">
        <v>15</v>
      </c>
      <c r="D404" t="s">
        <v>38</v>
      </c>
      <c r="E404" t="str">
        <f>TRIM(RIGHT(Table1[[#This Row],[Location]],LEN(Table1[[#This Row],[Location]])-FIND(",",Table1[[#This Row],[Location]])))</f>
        <v>Tennessee</v>
      </c>
      <c r="F404" t="s">
        <v>538</v>
      </c>
      <c r="G404" t="s">
        <v>116</v>
      </c>
      <c r="H404" t="s">
        <v>26</v>
      </c>
      <c r="I404">
        <v>19464</v>
      </c>
      <c r="J404">
        <v>68</v>
      </c>
      <c r="K404">
        <v>11814</v>
      </c>
      <c r="L404">
        <v>17040</v>
      </c>
      <c r="M404">
        <v>9</v>
      </c>
      <c r="N404">
        <v>1540.4693500000001</v>
      </c>
      <c r="O404" s="7">
        <f>IFERROR(Table1[[#This Row],[Clicks]]/Table1[[#This Row],[Impressions]],0)</f>
        <v>3.4936292642827787E-3</v>
      </c>
      <c r="P404" s="5">
        <f>IFERROR(Table1[[#This Row],[Total Conversions]]/Table1[[#This Row],[Clicks]],0)</f>
        <v>0.13235294117647059</v>
      </c>
      <c r="Q404" s="10">
        <f>IFERROR(Table1[[#This Row],[Gross Cost]]/Table1[[#This Row],[Total Conversions]],0)</f>
        <v>171.16326111111113</v>
      </c>
      <c r="R404" s="10">
        <f>IFERROR(Table1[[#This Row],[Gross Cost]]/(Table1[[#This Row],[Impressions]]/1000),0)</f>
        <v>79.144541204274574</v>
      </c>
      <c r="S404" s="5">
        <f>IFERROR(Table1[[#This Row],[Viewable Impressions]]/Table1[[#This Row],[Measurable Impressions]],0)</f>
        <v>0.6933098591549296</v>
      </c>
      <c r="T404" s="10">
        <f>IFERROR(1000*Table1[[#This Row],[Gross Cost]]/Table1[[#This Row],[Viewable Impressions]],0)</f>
        <v>130.3935457931268</v>
      </c>
      <c r="U404" s="10"/>
    </row>
    <row r="405" spans="1:21" x14ac:dyDescent="0.2">
      <c r="A405" t="s">
        <v>398</v>
      </c>
      <c r="B405" t="s">
        <v>21</v>
      </c>
      <c r="C405" t="s">
        <v>22</v>
      </c>
      <c r="D405" t="s">
        <v>77</v>
      </c>
      <c r="E405" t="str">
        <f>TRIM(RIGHT(Table1[[#This Row],[Location]],LEN(Table1[[#This Row],[Location]])-FIND(",",Table1[[#This Row],[Location]])))</f>
        <v>New York</v>
      </c>
      <c r="F405" t="s">
        <v>389</v>
      </c>
      <c r="G405" t="s">
        <v>18</v>
      </c>
      <c r="H405" t="s">
        <v>26</v>
      </c>
      <c r="I405">
        <v>20899</v>
      </c>
      <c r="J405">
        <v>20</v>
      </c>
      <c r="K405">
        <v>11394</v>
      </c>
      <c r="L405">
        <v>19576</v>
      </c>
      <c r="M405">
        <v>19</v>
      </c>
      <c r="N405">
        <v>1649.459852</v>
      </c>
      <c r="O405" s="7">
        <f>IFERROR(Table1[[#This Row],[Clicks]]/Table1[[#This Row],[Impressions]],0)</f>
        <v>9.5698358773147038E-4</v>
      </c>
      <c r="P405" s="5">
        <f>IFERROR(Table1[[#This Row],[Total Conversions]]/Table1[[#This Row],[Clicks]],0)</f>
        <v>0.95</v>
      </c>
      <c r="Q405" s="10">
        <f>IFERROR(Table1[[#This Row],[Gross Cost]]/Table1[[#This Row],[Total Conversions]],0)</f>
        <v>86.813676421052634</v>
      </c>
      <c r="R405" s="10">
        <f>IFERROR(Table1[[#This Row],[Gross Cost]]/(Table1[[#This Row],[Impressions]]/1000),0)</f>
        <v>78.925300349299008</v>
      </c>
      <c r="S405" s="5">
        <f>IFERROR(Table1[[#This Row],[Viewable Impressions]]/Table1[[#This Row],[Measurable Impressions]],0)</f>
        <v>0.58203923171230076</v>
      </c>
      <c r="T405" s="10">
        <f>IFERROR(1000*Table1[[#This Row],[Gross Cost]]/Table1[[#This Row],[Viewable Impressions]],0)</f>
        <v>144.76565315078111</v>
      </c>
      <c r="U405" s="10"/>
    </row>
    <row r="406" spans="1:21" x14ac:dyDescent="0.2">
      <c r="A406" t="s">
        <v>70</v>
      </c>
      <c r="B406" t="s">
        <v>14</v>
      </c>
      <c r="C406" t="s">
        <v>30</v>
      </c>
      <c r="D406" t="s">
        <v>44</v>
      </c>
      <c r="E406" t="str">
        <f>TRIM(RIGHT(Table1[[#This Row],[Location]],LEN(Table1[[#This Row],[Location]])-FIND(",",Table1[[#This Row],[Location]])))</f>
        <v>Florida</v>
      </c>
      <c r="F406" t="s">
        <v>71</v>
      </c>
      <c r="G406" t="s">
        <v>18</v>
      </c>
      <c r="H406" t="s">
        <v>51</v>
      </c>
      <c r="I406">
        <v>20348</v>
      </c>
      <c r="J406">
        <v>101</v>
      </c>
      <c r="K406">
        <v>14945</v>
      </c>
      <c r="L406">
        <v>19548</v>
      </c>
      <c r="M406">
        <v>6</v>
      </c>
      <c r="N406">
        <v>1596.552373</v>
      </c>
      <c r="O406" s="7">
        <f>IFERROR(Table1[[#This Row],[Clicks]]/Table1[[#This Row],[Impressions]],0)</f>
        <v>4.9636327894633375E-3</v>
      </c>
      <c r="P406" s="5">
        <f>IFERROR(Table1[[#This Row],[Total Conversions]]/Table1[[#This Row],[Clicks]],0)</f>
        <v>5.9405940594059403E-2</v>
      </c>
      <c r="Q406" s="10">
        <f>IFERROR(Table1[[#This Row],[Gross Cost]]/Table1[[#This Row],[Total Conversions]],0)</f>
        <v>266.09206216666666</v>
      </c>
      <c r="R406" s="10">
        <f>IFERROR(Table1[[#This Row],[Gross Cost]]/(Table1[[#This Row],[Impressions]]/1000),0)</f>
        <v>78.462373353646555</v>
      </c>
      <c r="S406" s="5">
        <f>IFERROR(Table1[[#This Row],[Viewable Impressions]]/Table1[[#This Row],[Measurable Impressions]],0)</f>
        <v>0.76452834049519136</v>
      </c>
      <c r="T406" s="10">
        <f>IFERROR(1000*Table1[[#This Row],[Gross Cost]]/Table1[[#This Row],[Viewable Impressions]],0)</f>
        <v>106.82852947474071</v>
      </c>
      <c r="U406" s="10"/>
    </row>
    <row r="407" spans="1:21" x14ac:dyDescent="0.2">
      <c r="A407" t="s">
        <v>439</v>
      </c>
      <c r="B407" t="s">
        <v>60</v>
      </c>
      <c r="C407" t="s">
        <v>30</v>
      </c>
      <c r="D407" t="s">
        <v>16</v>
      </c>
      <c r="E407" t="str">
        <f>TRIM(RIGHT(Table1[[#This Row],[Location]],LEN(Table1[[#This Row],[Location]])-FIND(",",Table1[[#This Row],[Location]])))</f>
        <v>California</v>
      </c>
      <c r="F407" t="s">
        <v>440</v>
      </c>
      <c r="G407" t="s">
        <v>18</v>
      </c>
      <c r="H407" t="s">
        <v>26</v>
      </c>
      <c r="I407">
        <v>20537</v>
      </c>
      <c r="J407">
        <v>84</v>
      </c>
      <c r="K407">
        <v>15587</v>
      </c>
      <c r="L407">
        <v>19288</v>
      </c>
      <c r="M407">
        <v>10</v>
      </c>
      <c r="N407">
        <v>1609.880674</v>
      </c>
      <c r="O407" s="7">
        <f>IFERROR(Table1[[#This Row],[Clicks]]/Table1[[#This Row],[Impressions]],0)</f>
        <v>4.0901787018551884E-3</v>
      </c>
      <c r="P407" s="5">
        <f>IFERROR(Table1[[#This Row],[Total Conversions]]/Table1[[#This Row],[Clicks]],0)</f>
        <v>0.11904761904761904</v>
      </c>
      <c r="Q407" s="10">
        <f>IFERROR(Table1[[#This Row],[Gross Cost]]/Table1[[#This Row],[Total Conversions]],0)</f>
        <v>160.98806740000001</v>
      </c>
      <c r="R407" s="10">
        <f>IFERROR(Table1[[#This Row],[Gross Cost]]/(Table1[[#This Row],[Impressions]]/1000),0)</f>
        <v>78.389281491941375</v>
      </c>
      <c r="S407" s="5">
        <f>IFERROR(Table1[[#This Row],[Viewable Impressions]]/Table1[[#This Row],[Measurable Impressions]],0)</f>
        <v>0.80811903774367477</v>
      </c>
      <c r="T407" s="10">
        <f>IFERROR(1000*Table1[[#This Row],[Gross Cost]]/Table1[[#This Row],[Viewable Impressions]],0)</f>
        <v>103.28354872650286</v>
      </c>
      <c r="U407" s="10"/>
    </row>
    <row r="408" spans="1:21" x14ac:dyDescent="0.2">
      <c r="A408" t="s">
        <v>724</v>
      </c>
      <c r="B408" t="s">
        <v>21</v>
      </c>
      <c r="C408" t="s">
        <v>22</v>
      </c>
      <c r="D408" t="s">
        <v>120</v>
      </c>
      <c r="E408" t="str">
        <f>TRIM(RIGHT(Table1[[#This Row],[Location]],LEN(Table1[[#This Row],[Location]])-FIND(",",Table1[[#This Row],[Location]])))</f>
        <v>Georgia</v>
      </c>
      <c r="F408" t="s">
        <v>722</v>
      </c>
      <c r="G408" t="s">
        <v>18</v>
      </c>
      <c r="H408" t="s">
        <v>26</v>
      </c>
      <c r="I408">
        <v>81567</v>
      </c>
      <c r="J408">
        <v>440</v>
      </c>
      <c r="K408">
        <v>53264</v>
      </c>
      <c r="L408">
        <v>68123</v>
      </c>
      <c r="M408">
        <v>4</v>
      </c>
      <c r="N408">
        <v>6392.471955</v>
      </c>
      <c r="O408" s="7">
        <f>IFERROR(Table1[[#This Row],[Clicks]]/Table1[[#This Row],[Impressions]],0)</f>
        <v>5.3943383966555099E-3</v>
      </c>
      <c r="P408" s="5">
        <f>IFERROR(Table1[[#This Row],[Total Conversions]]/Table1[[#This Row],[Clicks]],0)</f>
        <v>9.0909090909090905E-3</v>
      </c>
      <c r="Q408" s="10">
        <f>IFERROR(Table1[[#This Row],[Gross Cost]]/Table1[[#This Row],[Total Conversions]],0)</f>
        <v>1598.11798875</v>
      </c>
      <c r="R408" s="10">
        <f>IFERROR(Table1[[#This Row],[Gross Cost]]/(Table1[[#This Row],[Impressions]]/1000),0)</f>
        <v>78.370811173636397</v>
      </c>
      <c r="S408" s="5">
        <f>IFERROR(Table1[[#This Row],[Viewable Impressions]]/Table1[[#This Row],[Measurable Impressions]],0)</f>
        <v>0.78187983500433045</v>
      </c>
      <c r="T408" s="10">
        <f>IFERROR(1000*Table1[[#This Row],[Gross Cost]]/Table1[[#This Row],[Viewable Impressions]],0)</f>
        <v>120.01486848528087</v>
      </c>
      <c r="U408" s="10"/>
    </row>
    <row r="409" spans="1:21" x14ac:dyDescent="0.2">
      <c r="A409" t="s">
        <v>464</v>
      </c>
      <c r="B409" t="s">
        <v>21</v>
      </c>
      <c r="C409" t="s">
        <v>15</v>
      </c>
      <c r="D409" t="s">
        <v>130</v>
      </c>
      <c r="E409" t="str">
        <f>TRIM(RIGHT(Table1[[#This Row],[Location]],LEN(Table1[[#This Row],[Location]])-FIND(",",Table1[[#This Row],[Location]])))</f>
        <v>Michigan</v>
      </c>
      <c r="F409" t="s">
        <v>463</v>
      </c>
      <c r="G409" t="s">
        <v>25</v>
      </c>
      <c r="H409" t="s">
        <v>26</v>
      </c>
      <c r="I409">
        <v>19344</v>
      </c>
      <c r="J409">
        <v>68</v>
      </c>
      <c r="K409">
        <v>2353</v>
      </c>
      <c r="L409">
        <v>18261</v>
      </c>
      <c r="M409">
        <v>10</v>
      </c>
      <c r="N409">
        <v>1500.722291</v>
      </c>
      <c r="O409" s="7">
        <f>IFERROR(Table1[[#This Row],[Clicks]]/Table1[[#This Row],[Impressions]],0)</f>
        <v>3.5153019023986768E-3</v>
      </c>
      <c r="P409" s="5">
        <f>IFERROR(Table1[[#This Row],[Total Conversions]]/Table1[[#This Row],[Clicks]],0)</f>
        <v>0.14705882352941177</v>
      </c>
      <c r="Q409" s="10">
        <f>IFERROR(Table1[[#This Row],[Gross Cost]]/Table1[[#This Row],[Total Conversions]],0)</f>
        <v>150.07222910000002</v>
      </c>
      <c r="R409" s="10">
        <f>IFERROR(Table1[[#This Row],[Gross Cost]]/(Table1[[#This Row],[Impressions]]/1000),0)</f>
        <v>77.580763595947062</v>
      </c>
      <c r="S409" s="5">
        <f>IFERROR(Table1[[#This Row],[Viewable Impressions]]/Table1[[#This Row],[Measurable Impressions]],0)</f>
        <v>0.12885384152017962</v>
      </c>
      <c r="T409" s="10">
        <f>IFERROR(1000*Table1[[#This Row],[Gross Cost]]/Table1[[#This Row],[Viewable Impressions]],0)</f>
        <v>637.79102889927753</v>
      </c>
      <c r="U409" s="10"/>
    </row>
    <row r="410" spans="1:21" x14ac:dyDescent="0.2">
      <c r="A410" t="s">
        <v>710</v>
      </c>
      <c r="B410" t="s">
        <v>14</v>
      </c>
      <c r="C410" t="s">
        <v>41</v>
      </c>
      <c r="D410" t="s">
        <v>16</v>
      </c>
      <c r="E410" t="str">
        <f>TRIM(RIGHT(Table1[[#This Row],[Location]],LEN(Table1[[#This Row],[Location]])-FIND(",",Table1[[#This Row],[Location]])))</f>
        <v>California</v>
      </c>
      <c r="F410" t="s">
        <v>701</v>
      </c>
      <c r="G410" t="s">
        <v>18</v>
      </c>
      <c r="H410" t="s">
        <v>26</v>
      </c>
      <c r="I410">
        <v>21088</v>
      </c>
      <c r="J410">
        <v>60</v>
      </c>
      <c r="K410">
        <v>17930</v>
      </c>
      <c r="L410">
        <v>19822</v>
      </c>
      <c r="M410">
        <v>4</v>
      </c>
      <c r="N410">
        <v>1623.681601</v>
      </c>
      <c r="O410" s="7">
        <f>IFERROR(Table1[[#This Row],[Clicks]]/Table1[[#This Row],[Impressions]],0)</f>
        <v>2.8452200303490135E-3</v>
      </c>
      <c r="P410" s="5">
        <f>IFERROR(Table1[[#This Row],[Total Conversions]]/Table1[[#This Row],[Clicks]],0)</f>
        <v>6.6666666666666666E-2</v>
      </c>
      <c r="Q410" s="10">
        <f>IFERROR(Table1[[#This Row],[Gross Cost]]/Table1[[#This Row],[Total Conversions]],0)</f>
        <v>405.92040025</v>
      </c>
      <c r="R410" s="10">
        <f>IFERROR(Table1[[#This Row],[Gross Cost]]/(Table1[[#This Row],[Impressions]]/1000),0)</f>
        <v>76.99552356790592</v>
      </c>
      <c r="S410" s="5">
        <f>IFERROR(Table1[[#This Row],[Viewable Impressions]]/Table1[[#This Row],[Measurable Impressions]],0)</f>
        <v>0.90455049944506105</v>
      </c>
      <c r="T410" s="10">
        <f>IFERROR(1000*Table1[[#This Row],[Gross Cost]]/Table1[[#This Row],[Viewable Impressions]],0)</f>
        <v>90.556698326826549</v>
      </c>
      <c r="U410" s="10"/>
    </row>
    <row r="411" spans="1:21" x14ac:dyDescent="0.2">
      <c r="A411" t="s">
        <v>566</v>
      </c>
      <c r="B411" t="s">
        <v>21</v>
      </c>
      <c r="C411" t="s">
        <v>22</v>
      </c>
      <c r="D411" t="s">
        <v>83</v>
      </c>
      <c r="E411" t="str">
        <f>TRIM(RIGHT(Table1[[#This Row],[Location]],LEN(Table1[[#This Row],[Location]])-FIND(",",Table1[[#This Row],[Location]])))</f>
        <v>Florida</v>
      </c>
      <c r="F411" t="s">
        <v>564</v>
      </c>
      <c r="G411" t="s">
        <v>116</v>
      </c>
      <c r="H411" t="s">
        <v>26</v>
      </c>
      <c r="I411">
        <v>21903</v>
      </c>
      <c r="J411">
        <v>124</v>
      </c>
      <c r="K411">
        <v>18831</v>
      </c>
      <c r="L411">
        <v>20922</v>
      </c>
      <c r="M411">
        <v>4</v>
      </c>
      <c r="N411">
        <v>1661.167909</v>
      </c>
      <c r="O411" s="7">
        <f>IFERROR(Table1[[#This Row],[Clicks]]/Table1[[#This Row],[Impressions]],0)</f>
        <v>5.661324932657627E-3</v>
      </c>
      <c r="P411" s="5">
        <f>IFERROR(Table1[[#This Row],[Total Conversions]]/Table1[[#This Row],[Clicks]],0)</f>
        <v>3.2258064516129031E-2</v>
      </c>
      <c r="Q411" s="10">
        <f>IFERROR(Table1[[#This Row],[Gross Cost]]/Table1[[#This Row],[Total Conversions]],0)</f>
        <v>415.29197725</v>
      </c>
      <c r="R411" s="10">
        <f>IFERROR(Table1[[#This Row],[Gross Cost]]/(Table1[[#This Row],[Impressions]]/1000),0)</f>
        <v>75.842026617358357</v>
      </c>
      <c r="S411" s="5">
        <f>IFERROR(Table1[[#This Row],[Viewable Impressions]]/Table1[[#This Row],[Measurable Impressions]],0)</f>
        <v>0.90005735589331803</v>
      </c>
      <c r="T411" s="10">
        <f>IFERROR(1000*Table1[[#This Row],[Gross Cost]]/Table1[[#This Row],[Viewable Impressions]],0)</f>
        <v>88.214535022038135</v>
      </c>
      <c r="U411" s="10"/>
    </row>
    <row r="412" spans="1:21" x14ac:dyDescent="0.2">
      <c r="A412" t="s">
        <v>937</v>
      </c>
      <c r="B412" t="s">
        <v>14</v>
      </c>
      <c r="C412" t="s">
        <v>15</v>
      </c>
      <c r="D412" t="s">
        <v>65</v>
      </c>
      <c r="E412" t="str">
        <f>TRIM(RIGHT(Table1[[#This Row],[Location]],LEN(Table1[[#This Row],[Location]])-FIND(",",Table1[[#This Row],[Location]])))</f>
        <v>Florida</v>
      </c>
      <c r="F412" t="s">
        <v>918</v>
      </c>
      <c r="G412" t="s">
        <v>18</v>
      </c>
      <c r="H412" t="s">
        <v>19</v>
      </c>
      <c r="I412">
        <v>45668</v>
      </c>
      <c r="J412">
        <v>130</v>
      </c>
      <c r="K412">
        <v>16872</v>
      </c>
      <c r="L412">
        <v>32085</v>
      </c>
      <c r="M412">
        <v>9</v>
      </c>
      <c r="N412">
        <v>3444.2029459999999</v>
      </c>
      <c r="O412" s="7">
        <f>IFERROR(Table1[[#This Row],[Clicks]]/Table1[[#This Row],[Impressions]],0)</f>
        <v>2.8466322151178068E-3</v>
      </c>
      <c r="P412" s="5">
        <f>IFERROR(Table1[[#This Row],[Total Conversions]]/Table1[[#This Row],[Clicks]],0)</f>
        <v>6.9230769230769235E-2</v>
      </c>
      <c r="Q412" s="10">
        <f>IFERROR(Table1[[#This Row],[Gross Cost]]/Table1[[#This Row],[Total Conversions]],0)</f>
        <v>382.68921622222223</v>
      </c>
      <c r="R412" s="10">
        <f>IFERROR(Table1[[#This Row],[Gross Cost]]/(Table1[[#This Row],[Impressions]]/1000),0)</f>
        <v>75.418300472978885</v>
      </c>
      <c r="S412" s="5">
        <f>IFERROR(Table1[[#This Row],[Viewable Impressions]]/Table1[[#This Row],[Measurable Impressions]],0)</f>
        <v>0.5258532024310425</v>
      </c>
      <c r="T412" s="10">
        <f>IFERROR(1000*Table1[[#This Row],[Gross Cost]]/Table1[[#This Row],[Viewable Impressions]],0)</f>
        <v>204.13720637743006</v>
      </c>
      <c r="U412" s="10"/>
    </row>
    <row r="413" spans="1:21" x14ac:dyDescent="0.2">
      <c r="A413" t="s">
        <v>726</v>
      </c>
      <c r="B413" t="s">
        <v>14</v>
      </c>
      <c r="C413" t="s">
        <v>22</v>
      </c>
      <c r="D413" t="s">
        <v>16</v>
      </c>
      <c r="E413" t="str">
        <f>TRIM(RIGHT(Table1[[#This Row],[Location]],LEN(Table1[[#This Row],[Location]])-FIND(",",Table1[[#This Row],[Location]])))</f>
        <v>California</v>
      </c>
      <c r="F413" t="s">
        <v>722</v>
      </c>
      <c r="G413" t="s">
        <v>18</v>
      </c>
      <c r="H413" t="s">
        <v>51</v>
      </c>
      <c r="I413">
        <v>31625</v>
      </c>
      <c r="J413">
        <v>99</v>
      </c>
      <c r="K413">
        <v>23764</v>
      </c>
      <c r="L413">
        <v>29364</v>
      </c>
      <c r="M413">
        <v>6</v>
      </c>
      <c r="N413">
        <v>2360.5552440000001</v>
      </c>
      <c r="O413" s="7">
        <f>IFERROR(Table1[[#This Row],[Clicks]]/Table1[[#This Row],[Impressions]],0)</f>
        <v>3.1304347826086958E-3</v>
      </c>
      <c r="P413" s="5">
        <f>IFERROR(Table1[[#This Row],[Total Conversions]]/Table1[[#This Row],[Clicks]],0)</f>
        <v>6.0606060606060608E-2</v>
      </c>
      <c r="Q413" s="10">
        <f>IFERROR(Table1[[#This Row],[Gross Cost]]/Table1[[#This Row],[Total Conversions]],0)</f>
        <v>393.42587400000002</v>
      </c>
      <c r="R413" s="10">
        <f>IFERROR(Table1[[#This Row],[Gross Cost]]/(Table1[[#This Row],[Impressions]]/1000),0)</f>
        <v>74.642063051383403</v>
      </c>
      <c r="S413" s="5">
        <f>IFERROR(Table1[[#This Row],[Viewable Impressions]]/Table1[[#This Row],[Measurable Impressions]],0)</f>
        <v>0.80929028742678111</v>
      </c>
      <c r="T413" s="10">
        <f>IFERROR(1000*Table1[[#This Row],[Gross Cost]]/Table1[[#This Row],[Viewable Impressions]],0)</f>
        <v>99.333245413230088</v>
      </c>
      <c r="U413" s="10"/>
    </row>
    <row r="414" spans="1:21" x14ac:dyDescent="0.2">
      <c r="A414" t="s">
        <v>881</v>
      </c>
      <c r="B414" t="s">
        <v>14</v>
      </c>
      <c r="C414" t="s">
        <v>15</v>
      </c>
      <c r="D414" t="s">
        <v>16</v>
      </c>
      <c r="E414" t="str">
        <f>TRIM(RIGHT(Table1[[#This Row],[Location]],LEN(Table1[[#This Row],[Location]])-FIND(",",Table1[[#This Row],[Location]])))</f>
        <v>California</v>
      </c>
      <c r="F414" t="s">
        <v>879</v>
      </c>
      <c r="G414" t="s">
        <v>35</v>
      </c>
      <c r="H414" t="s">
        <v>51</v>
      </c>
      <c r="I414">
        <v>22934</v>
      </c>
      <c r="J414">
        <v>81</v>
      </c>
      <c r="K414">
        <v>18536</v>
      </c>
      <c r="L414">
        <v>21019</v>
      </c>
      <c r="M414">
        <v>5</v>
      </c>
      <c r="N414">
        <v>1711.1063380000001</v>
      </c>
      <c r="O414" s="7">
        <f>IFERROR(Table1[[#This Row],[Clicks]]/Table1[[#This Row],[Impressions]],0)</f>
        <v>3.5318740734280982E-3</v>
      </c>
      <c r="P414" s="5">
        <f>IFERROR(Table1[[#This Row],[Total Conversions]]/Table1[[#This Row],[Clicks]],0)</f>
        <v>6.1728395061728392E-2</v>
      </c>
      <c r="Q414" s="10">
        <f>IFERROR(Table1[[#This Row],[Gross Cost]]/Table1[[#This Row],[Total Conversions]],0)</f>
        <v>342.22126760000003</v>
      </c>
      <c r="R414" s="10">
        <f>IFERROR(Table1[[#This Row],[Gross Cost]]/(Table1[[#This Row],[Impressions]]/1000),0)</f>
        <v>74.610026074823409</v>
      </c>
      <c r="S414" s="5">
        <f>IFERROR(Table1[[#This Row],[Viewable Impressions]]/Table1[[#This Row],[Measurable Impressions]],0)</f>
        <v>0.88186878538465197</v>
      </c>
      <c r="T414" s="10">
        <f>IFERROR(1000*Table1[[#This Row],[Gross Cost]]/Table1[[#This Row],[Viewable Impressions]],0)</f>
        <v>92.312599158394477</v>
      </c>
      <c r="U414" s="10"/>
    </row>
    <row r="415" spans="1:21" x14ac:dyDescent="0.2">
      <c r="A415" t="s">
        <v>828</v>
      </c>
      <c r="B415" t="s">
        <v>21</v>
      </c>
      <c r="C415" t="s">
        <v>22</v>
      </c>
      <c r="D415" t="s">
        <v>94</v>
      </c>
      <c r="E415" t="str">
        <f>TRIM(RIGHT(Table1[[#This Row],[Location]],LEN(Table1[[#This Row],[Location]])-FIND(",",Table1[[#This Row],[Location]])))</f>
        <v>Florida</v>
      </c>
      <c r="F415" t="s">
        <v>829</v>
      </c>
      <c r="G415" t="s">
        <v>18</v>
      </c>
      <c r="H415" t="s">
        <v>26</v>
      </c>
      <c r="I415">
        <v>20572</v>
      </c>
      <c r="J415">
        <v>90</v>
      </c>
      <c r="K415">
        <v>2226</v>
      </c>
      <c r="L415">
        <v>16510</v>
      </c>
      <c r="M415">
        <v>10</v>
      </c>
      <c r="N415">
        <v>1529.307229</v>
      </c>
      <c r="O415" s="7">
        <f>IFERROR(Table1[[#This Row],[Clicks]]/Table1[[#This Row],[Impressions]],0)</f>
        <v>4.3748784755979001E-3</v>
      </c>
      <c r="P415" s="5">
        <f>IFERROR(Table1[[#This Row],[Total Conversions]]/Table1[[#This Row],[Clicks]],0)</f>
        <v>0.1111111111111111</v>
      </c>
      <c r="Q415" s="10">
        <f>IFERROR(Table1[[#This Row],[Gross Cost]]/Table1[[#This Row],[Total Conversions]],0)</f>
        <v>152.93072290000001</v>
      </c>
      <c r="R415" s="10">
        <f>IFERROR(Table1[[#This Row],[Gross Cost]]/(Table1[[#This Row],[Impressions]]/1000),0)</f>
        <v>74.339258652537438</v>
      </c>
      <c r="S415" s="5">
        <f>IFERROR(Table1[[#This Row],[Viewable Impressions]]/Table1[[#This Row],[Measurable Impressions]],0)</f>
        <v>0.13482737734706238</v>
      </c>
      <c r="T415" s="10">
        <f>IFERROR(1000*Table1[[#This Row],[Gross Cost]]/Table1[[#This Row],[Viewable Impressions]],0)</f>
        <v>687.02031850853552</v>
      </c>
      <c r="U415" s="10"/>
    </row>
    <row r="416" spans="1:21" x14ac:dyDescent="0.2">
      <c r="A416" t="s">
        <v>175</v>
      </c>
      <c r="B416" t="s">
        <v>14</v>
      </c>
      <c r="C416" t="s">
        <v>30</v>
      </c>
      <c r="D416" t="s">
        <v>34</v>
      </c>
      <c r="E416" t="str">
        <f>TRIM(RIGHT(Table1[[#This Row],[Location]],LEN(Table1[[#This Row],[Location]])-FIND(",",Table1[[#This Row],[Location]])))</f>
        <v>Illinois</v>
      </c>
      <c r="F416" t="s">
        <v>169</v>
      </c>
      <c r="G416" t="s">
        <v>25</v>
      </c>
      <c r="H416" t="s">
        <v>26</v>
      </c>
      <c r="I416">
        <v>22004</v>
      </c>
      <c r="J416">
        <v>80</v>
      </c>
      <c r="K416">
        <v>18735</v>
      </c>
      <c r="L416">
        <v>21127</v>
      </c>
      <c r="M416">
        <v>4</v>
      </c>
      <c r="N416">
        <v>1632.4727820000001</v>
      </c>
      <c r="O416" s="7">
        <f>IFERROR(Table1[[#This Row],[Clicks]]/Table1[[#This Row],[Impressions]],0)</f>
        <v>3.6357025995273585E-3</v>
      </c>
      <c r="P416" s="5">
        <f>IFERROR(Table1[[#This Row],[Total Conversions]]/Table1[[#This Row],[Clicks]],0)</f>
        <v>0.05</v>
      </c>
      <c r="Q416" s="10">
        <f>IFERROR(Table1[[#This Row],[Gross Cost]]/Table1[[#This Row],[Total Conversions]],0)</f>
        <v>408.11819550000001</v>
      </c>
      <c r="R416" s="10">
        <f>IFERROR(Table1[[#This Row],[Gross Cost]]/(Table1[[#This Row],[Impressions]]/1000),0)</f>
        <v>74.189819214688242</v>
      </c>
      <c r="S416" s="5">
        <f>IFERROR(Table1[[#This Row],[Viewable Impressions]]/Table1[[#This Row],[Measurable Impressions]],0)</f>
        <v>0.88677994982723529</v>
      </c>
      <c r="T416" s="10">
        <f>IFERROR(1000*Table1[[#This Row],[Gross Cost]]/Table1[[#This Row],[Viewable Impressions]],0)</f>
        <v>87.134922978382718</v>
      </c>
      <c r="U416" s="10"/>
    </row>
    <row r="417" spans="1:21" x14ac:dyDescent="0.2">
      <c r="A417" t="s">
        <v>495</v>
      </c>
      <c r="B417" t="s">
        <v>14</v>
      </c>
      <c r="C417" t="s">
        <v>22</v>
      </c>
      <c r="D417" t="s">
        <v>34</v>
      </c>
      <c r="E417" t="str">
        <f>TRIM(RIGHT(Table1[[#This Row],[Location]],LEN(Table1[[#This Row],[Location]])-FIND(",",Table1[[#This Row],[Location]])))</f>
        <v>Illinois</v>
      </c>
      <c r="F417" t="s">
        <v>492</v>
      </c>
      <c r="G417" t="s">
        <v>47</v>
      </c>
      <c r="H417" t="s">
        <v>26</v>
      </c>
      <c r="I417">
        <v>49014</v>
      </c>
      <c r="J417">
        <v>100</v>
      </c>
      <c r="K417">
        <v>30349</v>
      </c>
      <c r="L417">
        <v>46446</v>
      </c>
      <c r="M417">
        <v>6</v>
      </c>
      <c r="N417">
        <v>3628.3461699999998</v>
      </c>
      <c r="O417" s="7">
        <f>IFERROR(Table1[[#This Row],[Clicks]]/Table1[[#This Row],[Impressions]],0)</f>
        <v>2.0402334027012688E-3</v>
      </c>
      <c r="P417" s="5">
        <f>IFERROR(Table1[[#This Row],[Total Conversions]]/Table1[[#This Row],[Clicks]],0)</f>
        <v>0.06</v>
      </c>
      <c r="Q417" s="10">
        <f>IFERROR(Table1[[#This Row],[Gross Cost]]/Table1[[#This Row],[Total Conversions]],0)</f>
        <v>604.7243616666666</v>
      </c>
      <c r="R417" s="10">
        <f>IFERROR(Table1[[#This Row],[Gross Cost]]/(Table1[[#This Row],[Impressions]]/1000),0)</f>
        <v>74.02673052597217</v>
      </c>
      <c r="S417" s="5">
        <f>IFERROR(Table1[[#This Row],[Viewable Impressions]]/Table1[[#This Row],[Measurable Impressions]],0)</f>
        <v>0.65342548335701678</v>
      </c>
      <c r="T417" s="10">
        <f>IFERROR(1000*Table1[[#This Row],[Gross Cost]]/Table1[[#This Row],[Viewable Impressions]],0)</f>
        <v>119.55406010082704</v>
      </c>
      <c r="U417" s="10"/>
    </row>
    <row r="418" spans="1:21" x14ac:dyDescent="0.2">
      <c r="A418" t="s">
        <v>553</v>
      </c>
      <c r="B418" t="s">
        <v>21</v>
      </c>
      <c r="C418" t="s">
        <v>22</v>
      </c>
      <c r="D418" t="s">
        <v>65</v>
      </c>
      <c r="E418" t="str">
        <f>TRIM(RIGHT(Table1[[#This Row],[Location]],LEN(Table1[[#This Row],[Location]])-FIND(",",Table1[[#This Row],[Location]])))</f>
        <v>Florida</v>
      </c>
      <c r="F418" t="s">
        <v>538</v>
      </c>
      <c r="G418" t="s">
        <v>18</v>
      </c>
      <c r="H418" t="s">
        <v>26</v>
      </c>
      <c r="I418">
        <v>31003</v>
      </c>
      <c r="J418">
        <v>87</v>
      </c>
      <c r="K418">
        <v>12591</v>
      </c>
      <c r="L418">
        <v>22656</v>
      </c>
      <c r="M418">
        <v>8</v>
      </c>
      <c r="N418">
        <v>2294.0037779999998</v>
      </c>
      <c r="O418" s="7">
        <f>IFERROR(Table1[[#This Row],[Clicks]]/Table1[[#This Row],[Impressions]],0)</f>
        <v>2.806180047092217E-3</v>
      </c>
      <c r="P418" s="5">
        <f>IFERROR(Table1[[#This Row],[Total Conversions]]/Table1[[#This Row],[Clicks]],0)</f>
        <v>9.1954022988505746E-2</v>
      </c>
      <c r="Q418" s="10">
        <f>IFERROR(Table1[[#This Row],[Gross Cost]]/Table1[[#This Row],[Total Conversions]],0)</f>
        <v>286.75047224999997</v>
      </c>
      <c r="R418" s="10">
        <f>IFERROR(Table1[[#This Row],[Gross Cost]]/(Table1[[#This Row],[Impressions]]/1000),0)</f>
        <v>73.992961261813363</v>
      </c>
      <c r="S418" s="5">
        <f>IFERROR(Table1[[#This Row],[Viewable Impressions]]/Table1[[#This Row],[Measurable Impressions]],0)</f>
        <v>0.55574682203389836</v>
      </c>
      <c r="T418" s="10">
        <f>IFERROR(1000*Table1[[#This Row],[Gross Cost]]/Table1[[#This Row],[Viewable Impressions]],0)</f>
        <v>182.19393042649511</v>
      </c>
      <c r="U418" s="10"/>
    </row>
    <row r="419" spans="1:21" x14ac:dyDescent="0.2">
      <c r="A419" t="s">
        <v>55</v>
      </c>
      <c r="B419" t="s">
        <v>21</v>
      </c>
      <c r="C419" t="s">
        <v>41</v>
      </c>
      <c r="D419" t="s">
        <v>16</v>
      </c>
      <c r="E419" t="str">
        <f>TRIM(RIGHT(Table1[[#This Row],[Location]],LEN(Table1[[#This Row],[Location]])-FIND(",",Table1[[#This Row],[Location]])))</f>
        <v>California</v>
      </c>
      <c r="F419" t="s">
        <v>24</v>
      </c>
      <c r="G419" t="s">
        <v>47</v>
      </c>
      <c r="H419" t="s">
        <v>26</v>
      </c>
      <c r="I419">
        <v>19826</v>
      </c>
      <c r="J419">
        <v>39</v>
      </c>
      <c r="K419">
        <v>6511</v>
      </c>
      <c r="L419">
        <v>15752</v>
      </c>
      <c r="M419">
        <v>10</v>
      </c>
      <c r="N419">
        <v>1447.873298</v>
      </c>
      <c r="O419" s="7">
        <f>IFERROR(Table1[[#This Row],[Clicks]]/Table1[[#This Row],[Impressions]],0)</f>
        <v>1.9671138908503986E-3</v>
      </c>
      <c r="P419" s="5">
        <f>IFERROR(Table1[[#This Row],[Total Conversions]]/Table1[[#This Row],[Clicks]],0)</f>
        <v>0.25641025641025639</v>
      </c>
      <c r="Q419" s="10">
        <f>IFERROR(Table1[[#This Row],[Gross Cost]]/Table1[[#This Row],[Total Conversions]],0)</f>
        <v>144.78732980000001</v>
      </c>
      <c r="R419" s="10">
        <f>IFERROR(Table1[[#This Row],[Gross Cost]]/(Table1[[#This Row],[Impressions]]/1000),0)</f>
        <v>73.029017350953296</v>
      </c>
      <c r="S419" s="5">
        <f>IFERROR(Table1[[#This Row],[Viewable Impressions]]/Table1[[#This Row],[Measurable Impressions]],0)</f>
        <v>0.4133443372270188</v>
      </c>
      <c r="T419" s="10">
        <f>IFERROR(1000*Table1[[#This Row],[Gross Cost]]/Table1[[#This Row],[Viewable Impressions]],0)</f>
        <v>222.37341391491321</v>
      </c>
      <c r="U419" s="10"/>
    </row>
    <row r="420" spans="1:21" x14ac:dyDescent="0.2">
      <c r="A420" t="s">
        <v>712</v>
      </c>
      <c r="B420" t="s">
        <v>21</v>
      </c>
      <c r="C420" t="s">
        <v>41</v>
      </c>
      <c r="D420" t="s">
        <v>530</v>
      </c>
      <c r="E420" t="str">
        <f>TRIM(RIGHT(Table1[[#This Row],[Location]],LEN(Table1[[#This Row],[Location]])-FIND(",",Table1[[#This Row],[Location]])))</f>
        <v>Ohio</v>
      </c>
      <c r="F420" t="s">
        <v>701</v>
      </c>
      <c r="G420" t="s">
        <v>18</v>
      </c>
      <c r="H420" t="s">
        <v>26</v>
      </c>
      <c r="I420">
        <v>21229</v>
      </c>
      <c r="J420">
        <v>80</v>
      </c>
      <c r="K420">
        <v>18073</v>
      </c>
      <c r="L420">
        <v>19655</v>
      </c>
      <c r="M420">
        <v>10</v>
      </c>
      <c r="N420">
        <v>1550.0766550000001</v>
      </c>
      <c r="O420" s="7">
        <f>IFERROR(Table1[[#This Row],[Clicks]]/Table1[[#This Row],[Impressions]],0)</f>
        <v>3.7684299778604738E-3</v>
      </c>
      <c r="P420" s="5">
        <f>IFERROR(Table1[[#This Row],[Total Conversions]]/Table1[[#This Row],[Clicks]],0)</f>
        <v>0.125</v>
      </c>
      <c r="Q420" s="10">
        <f>IFERROR(Table1[[#This Row],[Gross Cost]]/Table1[[#This Row],[Total Conversions]],0)</f>
        <v>155.0076655</v>
      </c>
      <c r="R420" s="10">
        <f>IFERROR(Table1[[#This Row],[Gross Cost]]/(Table1[[#This Row],[Impressions]]/1000),0)</f>
        <v>73.016941683546094</v>
      </c>
      <c r="S420" s="5">
        <f>IFERROR(Table1[[#This Row],[Viewable Impressions]]/Table1[[#This Row],[Measurable Impressions]],0)</f>
        <v>0.91951157466293565</v>
      </c>
      <c r="T420" s="10">
        <f>IFERROR(1000*Table1[[#This Row],[Gross Cost]]/Table1[[#This Row],[Viewable Impressions]],0)</f>
        <v>85.767534720301001</v>
      </c>
      <c r="U420" s="10"/>
    </row>
    <row r="421" spans="1:21" x14ac:dyDescent="0.2">
      <c r="A421" t="s">
        <v>659</v>
      </c>
      <c r="B421" t="s">
        <v>21</v>
      </c>
      <c r="C421" t="s">
        <v>22</v>
      </c>
      <c r="D421" t="s">
        <v>77</v>
      </c>
      <c r="E421" t="str">
        <f>TRIM(RIGHT(Table1[[#This Row],[Location]],LEN(Table1[[#This Row],[Location]])-FIND(",",Table1[[#This Row],[Location]])))</f>
        <v>New York</v>
      </c>
      <c r="F421" t="s">
        <v>660</v>
      </c>
      <c r="G421" t="s">
        <v>18</v>
      </c>
      <c r="H421" t="s">
        <v>26</v>
      </c>
      <c r="I421">
        <v>92764</v>
      </c>
      <c r="J421">
        <v>320</v>
      </c>
      <c r="K421">
        <v>19625</v>
      </c>
      <c r="L421">
        <v>76531</v>
      </c>
      <c r="M421">
        <v>14</v>
      </c>
      <c r="N421">
        <v>6730.012549</v>
      </c>
      <c r="O421" s="7">
        <f>IFERROR(Table1[[#This Row],[Clicks]]/Table1[[#This Row],[Impressions]],0)</f>
        <v>3.4496140744254234E-3</v>
      </c>
      <c r="P421" s="5">
        <f>IFERROR(Table1[[#This Row],[Total Conversions]]/Table1[[#This Row],[Clicks]],0)</f>
        <v>4.3749999999999997E-2</v>
      </c>
      <c r="Q421" s="10">
        <f>IFERROR(Table1[[#This Row],[Gross Cost]]/Table1[[#This Row],[Total Conversions]],0)</f>
        <v>480.71518207142856</v>
      </c>
      <c r="R421" s="10">
        <f>IFERROR(Table1[[#This Row],[Gross Cost]]/(Table1[[#This Row],[Impressions]]/1000),0)</f>
        <v>72.549831281531638</v>
      </c>
      <c r="S421" s="5">
        <f>IFERROR(Table1[[#This Row],[Viewable Impressions]]/Table1[[#This Row],[Measurable Impressions]],0)</f>
        <v>0.25643203407769399</v>
      </c>
      <c r="T421" s="10">
        <f>IFERROR(1000*Table1[[#This Row],[Gross Cost]]/Table1[[#This Row],[Viewable Impressions]],0)</f>
        <v>342.93057574522294</v>
      </c>
      <c r="U421" s="10"/>
    </row>
    <row r="422" spans="1:21" x14ac:dyDescent="0.2">
      <c r="A422" t="s">
        <v>353</v>
      </c>
      <c r="B422" t="s">
        <v>21</v>
      </c>
      <c r="C422" t="s">
        <v>15</v>
      </c>
      <c r="D422" t="s">
        <v>54</v>
      </c>
      <c r="E422" t="str">
        <f>TRIM(RIGHT(Table1[[#This Row],[Location]],LEN(Table1[[#This Row],[Location]])-FIND(",",Table1[[#This Row],[Location]])))</f>
        <v>Florida</v>
      </c>
      <c r="F422" t="s">
        <v>351</v>
      </c>
      <c r="G422" t="s">
        <v>18</v>
      </c>
      <c r="H422" t="s">
        <v>26</v>
      </c>
      <c r="I422">
        <v>22259</v>
      </c>
      <c r="J422">
        <v>120</v>
      </c>
      <c r="K422">
        <v>12405</v>
      </c>
      <c r="L422">
        <v>17609</v>
      </c>
      <c r="M422">
        <v>14</v>
      </c>
      <c r="N422">
        <v>1611.340211</v>
      </c>
      <c r="O422" s="7">
        <f>IFERROR(Table1[[#This Row],[Clicks]]/Table1[[#This Row],[Impressions]],0)</f>
        <v>5.3910777662967788E-3</v>
      </c>
      <c r="P422" s="5">
        <f>IFERROR(Table1[[#This Row],[Total Conversions]]/Table1[[#This Row],[Clicks]],0)</f>
        <v>0.11666666666666667</v>
      </c>
      <c r="Q422" s="10">
        <f>IFERROR(Table1[[#This Row],[Gross Cost]]/Table1[[#This Row],[Total Conversions]],0)</f>
        <v>115.09572935714286</v>
      </c>
      <c r="R422" s="10">
        <f>IFERROR(Table1[[#This Row],[Gross Cost]]/(Table1[[#This Row],[Impressions]]/1000),0)</f>
        <v>72.39050321218383</v>
      </c>
      <c r="S422" s="5">
        <f>IFERROR(Table1[[#This Row],[Viewable Impressions]]/Table1[[#This Row],[Measurable Impressions]],0)</f>
        <v>0.70446930546879438</v>
      </c>
      <c r="T422" s="10">
        <f>IFERROR(1000*Table1[[#This Row],[Gross Cost]]/Table1[[#This Row],[Viewable Impressions]],0)</f>
        <v>129.89441442966546</v>
      </c>
      <c r="U422" s="10"/>
    </row>
    <row r="423" spans="1:21" x14ac:dyDescent="0.2">
      <c r="A423" t="s">
        <v>262</v>
      </c>
      <c r="B423" t="s">
        <v>21</v>
      </c>
      <c r="C423" t="s">
        <v>22</v>
      </c>
      <c r="D423" t="s">
        <v>141</v>
      </c>
      <c r="E423" t="str">
        <f>TRIM(RIGHT(Table1[[#This Row],[Location]],LEN(Table1[[#This Row],[Location]])-FIND(",",Table1[[#This Row],[Location]])))</f>
        <v>Florida-Thomasville, Georgia</v>
      </c>
      <c r="F423" t="s">
        <v>263</v>
      </c>
      <c r="G423" t="s">
        <v>18</v>
      </c>
      <c r="H423" t="s">
        <v>26</v>
      </c>
      <c r="I423">
        <v>29393</v>
      </c>
      <c r="J423">
        <v>70</v>
      </c>
      <c r="K423">
        <v>3277</v>
      </c>
      <c r="L423">
        <v>25959</v>
      </c>
      <c r="M423">
        <v>19</v>
      </c>
      <c r="N423">
        <v>2120.7576979999999</v>
      </c>
      <c r="O423" s="7">
        <f>IFERROR(Table1[[#This Row],[Clicks]]/Table1[[#This Row],[Impressions]],0)</f>
        <v>2.3815194093831865E-3</v>
      </c>
      <c r="P423" s="5">
        <f>IFERROR(Table1[[#This Row],[Total Conversions]]/Table1[[#This Row],[Clicks]],0)</f>
        <v>0.27142857142857141</v>
      </c>
      <c r="Q423" s="10">
        <f>IFERROR(Table1[[#This Row],[Gross Cost]]/Table1[[#This Row],[Total Conversions]],0)</f>
        <v>111.61882621052631</v>
      </c>
      <c r="R423" s="10">
        <f>IFERROR(Table1[[#This Row],[Gross Cost]]/(Table1[[#This Row],[Impressions]]/1000),0)</f>
        <v>72.151794576940077</v>
      </c>
      <c r="S423" s="5">
        <f>IFERROR(Table1[[#This Row],[Viewable Impressions]]/Table1[[#This Row],[Measurable Impressions]],0)</f>
        <v>0.12623752841018529</v>
      </c>
      <c r="T423" s="10">
        <f>IFERROR(1000*Table1[[#This Row],[Gross Cost]]/Table1[[#This Row],[Viewable Impressions]],0)</f>
        <v>647.16438754958801</v>
      </c>
      <c r="U423" s="10"/>
    </row>
    <row r="424" spans="1:21" x14ac:dyDescent="0.2">
      <c r="A424" t="s">
        <v>208</v>
      </c>
      <c r="B424" t="s">
        <v>21</v>
      </c>
      <c r="C424" t="s">
        <v>15</v>
      </c>
      <c r="D424" t="s">
        <v>34</v>
      </c>
      <c r="E424" t="str">
        <f>TRIM(RIGHT(Table1[[#This Row],[Location]],LEN(Table1[[#This Row],[Location]])-FIND(",",Table1[[#This Row],[Location]])))</f>
        <v>Illinois</v>
      </c>
      <c r="F424" t="s">
        <v>196</v>
      </c>
      <c r="G424" t="s">
        <v>18</v>
      </c>
      <c r="H424" t="s">
        <v>26</v>
      </c>
      <c r="I424">
        <v>21478</v>
      </c>
      <c r="J424">
        <v>50</v>
      </c>
      <c r="K424">
        <v>15548</v>
      </c>
      <c r="L424">
        <v>20651</v>
      </c>
      <c r="M424">
        <v>24</v>
      </c>
      <c r="N424">
        <v>1541.2140469999999</v>
      </c>
      <c r="O424" s="7">
        <f>IFERROR(Table1[[#This Row],[Clicks]]/Table1[[#This Row],[Impressions]],0)</f>
        <v>2.3279634975323588E-3</v>
      </c>
      <c r="P424" s="5">
        <f>IFERROR(Table1[[#This Row],[Total Conversions]]/Table1[[#This Row],[Clicks]],0)</f>
        <v>0.48</v>
      </c>
      <c r="Q424" s="10">
        <f>IFERROR(Table1[[#This Row],[Gross Cost]]/Table1[[#This Row],[Total Conversions]],0)</f>
        <v>64.217251958333335</v>
      </c>
      <c r="R424" s="10">
        <f>IFERROR(Table1[[#This Row],[Gross Cost]]/(Table1[[#This Row],[Impressions]]/1000),0)</f>
        <v>71.757800866002412</v>
      </c>
      <c r="S424" s="5">
        <f>IFERROR(Table1[[#This Row],[Viewable Impressions]]/Table1[[#This Row],[Measurable Impressions]],0)</f>
        <v>0.7528933223572708</v>
      </c>
      <c r="T424" s="10">
        <f>IFERROR(1000*Table1[[#This Row],[Gross Cost]]/Table1[[#This Row],[Viewable Impressions]],0)</f>
        <v>99.126192886544899</v>
      </c>
      <c r="U424" s="10"/>
    </row>
    <row r="425" spans="1:21" x14ac:dyDescent="0.2">
      <c r="A425" t="s">
        <v>399</v>
      </c>
      <c r="B425" t="s">
        <v>14</v>
      </c>
      <c r="C425" t="s">
        <v>41</v>
      </c>
      <c r="D425" t="s">
        <v>120</v>
      </c>
      <c r="E425" t="str">
        <f>TRIM(RIGHT(Table1[[#This Row],[Location]],LEN(Table1[[#This Row],[Location]])-FIND(",",Table1[[#This Row],[Location]])))</f>
        <v>Georgia</v>
      </c>
      <c r="F425" t="s">
        <v>389</v>
      </c>
      <c r="G425" t="s">
        <v>18</v>
      </c>
      <c r="H425" t="s">
        <v>51</v>
      </c>
      <c r="I425">
        <v>22800</v>
      </c>
      <c r="J425">
        <v>79</v>
      </c>
      <c r="K425">
        <v>8298</v>
      </c>
      <c r="L425">
        <v>21161</v>
      </c>
      <c r="M425">
        <v>24</v>
      </c>
      <c r="N425">
        <v>1620.1655000000001</v>
      </c>
      <c r="O425" s="7">
        <f>IFERROR(Table1[[#This Row],[Clicks]]/Table1[[#This Row],[Impressions]],0)</f>
        <v>3.4649122807017545E-3</v>
      </c>
      <c r="P425" s="5">
        <f>IFERROR(Table1[[#This Row],[Total Conversions]]/Table1[[#This Row],[Clicks]],0)</f>
        <v>0.30379746835443039</v>
      </c>
      <c r="Q425" s="10">
        <f>IFERROR(Table1[[#This Row],[Gross Cost]]/Table1[[#This Row],[Total Conversions]],0)</f>
        <v>67.506895833333331</v>
      </c>
      <c r="R425" s="10">
        <f>IFERROR(Table1[[#This Row],[Gross Cost]]/(Table1[[#This Row],[Impressions]]/1000),0)</f>
        <v>71.059890350877197</v>
      </c>
      <c r="S425" s="5">
        <f>IFERROR(Table1[[#This Row],[Viewable Impressions]]/Table1[[#This Row],[Measurable Impressions]],0)</f>
        <v>0.39213647748216057</v>
      </c>
      <c r="T425" s="10">
        <f>IFERROR(1000*Table1[[#This Row],[Gross Cost]]/Table1[[#This Row],[Viewable Impressions]],0)</f>
        <v>195.24771029163654</v>
      </c>
      <c r="U425" s="10"/>
    </row>
    <row r="426" spans="1:21" x14ac:dyDescent="0.2">
      <c r="A426" t="s">
        <v>474</v>
      </c>
      <c r="B426" t="s">
        <v>60</v>
      </c>
      <c r="C426" t="s">
        <v>22</v>
      </c>
      <c r="D426" t="s">
        <v>77</v>
      </c>
      <c r="E426" t="str">
        <f>TRIM(RIGHT(Table1[[#This Row],[Location]],LEN(Table1[[#This Row],[Location]])-FIND(",",Table1[[#This Row],[Location]])))</f>
        <v>New York</v>
      </c>
      <c r="F426" t="s">
        <v>473</v>
      </c>
      <c r="G426" t="s">
        <v>18</v>
      </c>
      <c r="H426" t="s">
        <v>26</v>
      </c>
      <c r="I426">
        <v>89744</v>
      </c>
      <c r="J426">
        <v>311</v>
      </c>
      <c r="K426">
        <v>48786</v>
      </c>
      <c r="L426">
        <v>85900</v>
      </c>
      <c r="M426">
        <v>3</v>
      </c>
      <c r="N426">
        <v>6369.8112259999998</v>
      </c>
      <c r="O426" s="7">
        <f>IFERROR(Table1[[#This Row],[Clicks]]/Table1[[#This Row],[Impressions]],0)</f>
        <v>3.4654127295418078E-3</v>
      </c>
      <c r="P426" s="5">
        <f>IFERROR(Table1[[#This Row],[Total Conversions]]/Table1[[#This Row],[Clicks]],0)</f>
        <v>9.6463022508038593E-3</v>
      </c>
      <c r="Q426" s="10">
        <f>IFERROR(Table1[[#This Row],[Gross Cost]]/Table1[[#This Row],[Total Conversions]],0)</f>
        <v>2123.2704086666668</v>
      </c>
      <c r="R426" s="10">
        <f>IFERROR(Table1[[#This Row],[Gross Cost]]/(Table1[[#This Row],[Impressions]]/1000),0)</f>
        <v>70.977572049384918</v>
      </c>
      <c r="S426" s="5">
        <f>IFERROR(Table1[[#This Row],[Viewable Impressions]]/Table1[[#This Row],[Measurable Impressions]],0)</f>
        <v>0.56793946449359722</v>
      </c>
      <c r="T426" s="10">
        <f>IFERROR(1000*Table1[[#This Row],[Gross Cost]]/Table1[[#This Row],[Viewable Impressions]],0)</f>
        <v>130.56637613249703</v>
      </c>
      <c r="U426" s="10"/>
    </row>
    <row r="427" spans="1:21" x14ac:dyDescent="0.2">
      <c r="A427" t="s">
        <v>354</v>
      </c>
      <c r="B427" t="s">
        <v>14</v>
      </c>
      <c r="C427" t="s">
        <v>15</v>
      </c>
      <c r="D427" t="s">
        <v>355</v>
      </c>
      <c r="E427" t="str">
        <f>TRIM(RIGHT(Table1[[#This Row],[Location]],LEN(Table1[[#This Row],[Location]])-FIND(",",Table1[[#This Row],[Location]])))</f>
        <v>Illinois</v>
      </c>
      <c r="F427" t="s">
        <v>351</v>
      </c>
      <c r="G427" t="s">
        <v>47</v>
      </c>
      <c r="H427" t="s">
        <v>51</v>
      </c>
      <c r="I427">
        <v>21143</v>
      </c>
      <c r="J427">
        <v>56</v>
      </c>
      <c r="K427">
        <v>3798</v>
      </c>
      <c r="L427">
        <v>19588</v>
      </c>
      <c r="M427">
        <v>3</v>
      </c>
      <c r="N427">
        <v>1500.41822</v>
      </c>
      <c r="O427" s="7">
        <f>IFERROR(Table1[[#This Row],[Clicks]]/Table1[[#This Row],[Impressions]],0)</f>
        <v>2.6486307524949157E-3</v>
      </c>
      <c r="P427" s="5">
        <f>IFERROR(Table1[[#This Row],[Total Conversions]]/Table1[[#This Row],[Clicks]],0)</f>
        <v>5.3571428571428568E-2</v>
      </c>
      <c r="Q427" s="10">
        <f>IFERROR(Table1[[#This Row],[Gross Cost]]/Table1[[#This Row],[Total Conversions]],0)</f>
        <v>500.13940666666667</v>
      </c>
      <c r="R427" s="10">
        <f>IFERROR(Table1[[#This Row],[Gross Cost]]/(Table1[[#This Row],[Impressions]]/1000),0)</f>
        <v>70.965247126708604</v>
      </c>
      <c r="S427" s="5">
        <f>IFERROR(Table1[[#This Row],[Viewable Impressions]]/Table1[[#This Row],[Measurable Impressions]],0)</f>
        <v>0.19389422095160302</v>
      </c>
      <c r="T427" s="10">
        <f>IFERROR(1000*Table1[[#This Row],[Gross Cost]]/Table1[[#This Row],[Viewable Impressions]],0)</f>
        <v>395.05482359136386</v>
      </c>
      <c r="U427" s="10"/>
    </row>
    <row r="428" spans="1:21" x14ac:dyDescent="0.2">
      <c r="A428" t="s">
        <v>887</v>
      </c>
      <c r="B428" t="s">
        <v>21</v>
      </c>
      <c r="C428" t="s">
        <v>30</v>
      </c>
      <c r="D428" t="s">
        <v>16</v>
      </c>
      <c r="E428" t="str">
        <f>TRIM(RIGHT(Table1[[#This Row],[Location]],LEN(Table1[[#This Row],[Location]])-FIND(",",Table1[[#This Row],[Location]])))</f>
        <v>California</v>
      </c>
      <c r="F428" t="s">
        <v>885</v>
      </c>
      <c r="G428" t="s">
        <v>47</v>
      </c>
      <c r="H428" t="s">
        <v>26</v>
      </c>
      <c r="I428">
        <v>21737</v>
      </c>
      <c r="J428">
        <v>80</v>
      </c>
      <c r="K428">
        <v>11206</v>
      </c>
      <c r="L428">
        <v>19459</v>
      </c>
      <c r="M428">
        <v>4</v>
      </c>
      <c r="N428">
        <v>1521.576648</v>
      </c>
      <c r="O428" s="7">
        <f>IFERROR(Table1[[#This Row],[Clicks]]/Table1[[#This Row],[Impressions]],0)</f>
        <v>3.6803606753461841E-3</v>
      </c>
      <c r="P428" s="5">
        <f>IFERROR(Table1[[#This Row],[Total Conversions]]/Table1[[#This Row],[Clicks]],0)</f>
        <v>0.05</v>
      </c>
      <c r="Q428" s="10">
        <f>IFERROR(Table1[[#This Row],[Gross Cost]]/Table1[[#This Row],[Total Conversions]],0)</f>
        <v>380.39416199999999</v>
      </c>
      <c r="R428" s="10">
        <f>IFERROR(Table1[[#This Row],[Gross Cost]]/(Table1[[#This Row],[Impressions]]/1000),0)</f>
        <v>69.999385747803288</v>
      </c>
      <c r="S428" s="5">
        <f>IFERROR(Table1[[#This Row],[Viewable Impressions]]/Table1[[#This Row],[Measurable Impressions]],0)</f>
        <v>0.57587748599619715</v>
      </c>
      <c r="T428" s="10">
        <f>IFERROR(1000*Table1[[#This Row],[Gross Cost]]/Table1[[#This Row],[Viewable Impressions]],0)</f>
        <v>135.7823173300018</v>
      </c>
      <c r="U428" s="10"/>
    </row>
    <row r="429" spans="1:21" x14ac:dyDescent="0.2">
      <c r="A429" t="s">
        <v>85</v>
      </c>
      <c r="B429" t="s">
        <v>60</v>
      </c>
      <c r="C429" t="s">
        <v>41</v>
      </c>
      <c r="D429" t="s">
        <v>16</v>
      </c>
      <c r="E429" t="str">
        <f>TRIM(RIGHT(Table1[[#This Row],[Location]],LEN(Table1[[#This Row],[Location]])-FIND(",",Table1[[#This Row],[Location]])))</f>
        <v>California</v>
      </c>
      <c r="F429" t="s">
        <v>86</v>
      </c>
      <c r="G429" t="s">
        <v>45</v>
      </c>
      <c r="H429" t="s">
        <v>26</v>
      </c>
      <c r="I429">
        <v>100800</v>
      </c>
      <c r="J429">
        <v>185</v>
      </c>
      <c r="K429">
        <v>14473</v>
      </c>
      <c r="L429">
        <v>85424</v>
      </c>
      <c r="M429">
        <v>10</v>
      </c>
      <c r="N429">
        <v>7004.7304830000003</v>
      </c>
      <c r="O429" s="7">
        <f>IFERROR(Table1[[#This Row],[Clicks]]/Table1[[#This Row],[Impressions]],0)</f>
        <v>1.8353174603174603E-3</v>
      </c>
      <c r="P429" s="5">
        <f>IFERROR(Table1[[#This Row],[Total Conversions]]/Table1[[#This Row],[Clicks]],0)</f>
        <v>5.4054054054054057E-2</v>
      </c>
      <c r="Q429" s="10">
        <f>IFERROR(Table1[[#This Row],[Gross Cost]]/Table1[[#This Row],[Total Conversions]],0)</f>
        <v>700.47304830000007</v>
      </c>
      <c r="R429" s="10">
        <f>IFERROR(Table1[[#This Row],[Gross Cost]]/(Table1[[#This Row],[Impressions]]/1000),0)</f>
        <v>69.491373839285714</v>
      </c>
      <c r="S429" s="5">
        <f>IFERROR(Table1[[#This Row],[Viewable Impressions]]/Table1[[#This Row],[Measurable Impressions]],0)</f>
        <v>0.16942545420490729</v>
      </c>
      <c r="T429" s="10">
        <f>IFERROR(1000*Table1[[#This Row],[Gross Cost]]/Table1[[#This Row],[Viewable Impressions]],0)</f>
        <v>483.98607634906375</v>
      </c>
      <c r="U429" s="10"/>
    </row>
    <row r="430" spans="1:21" x14ac:dyDescent="0.2">
      <c r="A430" t="s">
        <v>522</v>
      </c>
      <c r="B430" t="s">
        <v>14</v>
      </c>
      <c r="C430" t="s">
        <v>15</v>
      </c>
      <c r="D430" t="s">
        <v>77</v>
      </c>
      <c r="E430" t="str">
        <f>TRIM(RIGHT(Table1[[#This Row],[Location]],LEN(Table1[[#This Row],[Location]])-FIND(",",Table1[[#This Row],[Location]])))</f>
        <v>New York</v>
      </c>
      <c r="F430" t="s">
        <v>517</v>
      </c>
      <c r="G430" t="s">
        <v>18</v>
      </c>
      <c r="H430" t="s">
        <v>51</v>
      </c>
      <c r="I430">
        <v>83854</v>
      </c>
      <c r="J430">
        <v>197</v>
      </c>
      <c r="K430">
        <v>60626</v>
      </c>
      <c r="L430">
        <v>76071</v>
      </c>
      <c r="M430">
        <v>15</v>
      </c>
      <c r="N430">
        <v>5783.843758</v>
      </c>
      <c r="O430" s="7">
        <f>IFERROR(Table1[[#This Row],[Clicks]]/Table1[[#This Row],[Impressions]],0)</f>
        <v>2.3493214396450974E-3</v>
      </c>
      <c r="P430" s="5">
        <f>IFERROR(Table1[[#This Row],[Total Conversions]]/Table1[[#This Row],[Clicks]],0)</f>
        <v>7.6142131979695438E-2</v>
      </c>
      <c r="Q430" s="10">
        <f>IFERROR(Table1[[#This Row],[Gross Cost]]/Table1[[#This Row],[Total Conversions]],0)</f>
        <v>385.58958386666666</v>
      </c>
      <c r="R430" s="10">
        <f>IFERROR(Table1[[#This Row],[Gross Cost]]/(Table1[[#This Row],[Impressions]]/1000),0)</f>
        <v>68.975168244806454</v>
      </c>
      <c r="S430" s="5">
        <f>IFERROR(Table1[[#This Row],[Viewable Impressions]]/Table1[[#This Row],[Measurable Impressions]],0)</f>
        <v>0.7969659922966702</v>
      </c>
      <c r="T430" s="10">
        <f>IFERROR(1000*Table1[[#This Row],[Gross Cost]]/Table1[[#This Row],[Viewable Impressions]],0)</f>
        <v>95.402034737571341</v>
      </c>
      <c r="U430" s="10"/>
    </row>
    <row r="431" spans="1:21" x14ac:dyDescent="0.2">
      <c r="A431" t="s">
        <v>133</v>
      </c>
      <c r="B431" t="s">
        <v>14</v>
      </c>
      <c r="C431" t="s">
        <v>15</v>
      </c>
      <c r="D431" t="s">
        <v>38</v>
      </c>
      <c r="E431" t="str">
        <f>TRIM(RIGHT(Table1[[#This Row],[Location]],LEN(Table1[[#This Row],[Location]])-FIND(",",Table1[[#This Row],[Location]])))</f>
        <v>Tennessee</v>
      </c>
      <c r="F431" t="s">
        <v>114</v>
      </c>
      <c r="G431" t="s">
        <v>18</v>
      </c>
      <c r="H431" t="s">
        <v>51</v>
      </c>
      <c r="I431">
        <v>21531</v>
      </c>
      <c r="J431">
        <v>55</v>
      </c>
      <c r="K431">
        <v>15593</v>
      </c>
      <c r="L431">
        <v>18617</v>
      </c>
      <c r="M431">
        <v>6</v>
      </c>
      <c r="N431">
        <v>1470.9719250000001</v>
      </c>
      <c r="O431" s="7">
        <f>IFERROR(Table1[[#This Row],[Clicks]]/Table1[[#This Row],[Impressions]],0)</f>
        <v>2.5544563652408155E-3</v>
      </c>
      <c r="P431" s="5">
        <f>IFERROR(Table1[[#This Row],[Total Conversions]]/Table1[[#This Row],[Clicks]],0)</f>
        <v>0.10909090909090909</v>
      </c>
      <c r="Q431" s="10">
        <f>IFERROR(Table1[[#This Row],[Gross Cost]]/Table1[[#This Row],[Total Conversions]],0)</f>
        <v>245.16198750000001</v>
      </c>
      <c r="R431" s="10">
        <f>IFERROR(Table1[[#This Row],[Gross Cost]]/(Table1[[#This Row],[Impressions]]/1000),0)</f>
        <v>68.318792671032469</v>
      </c>
      <c r="S431" s="5">
        <f>IFERROR(Table1[[#This Row],[Viewable Impressions]]/Table1[[#This Row],[Measurable Impressions]],0)</f>
        <v>0.83756781436321637</v>
      </c>
      <c r="T431" s="10">
        <f>IFERROR(1000*Table1[[#This Row],[Gross Cost]]/Table1[[#This Row],[Viewable Impressions]],0)</f>
        <v>94.335402103507988</v>
      </c>
      <c r="U431" s="10"/>
    </row>
    <row r="432" spans="1:21" x14ac:dyDescent="0.2">
      <c r="A432" t="s">
        <v>491</v>
      </c>
      <c r="B432" t="s">
        <v>21</v>
      </c>
      <c r="C432" t="s">
        <v>15</v>
      </c>
      <c r="D432" t="s">
        <v>77</v>
      </c>
      <c r="E432" t="str">
        <f>TRIM(RIGHT(Table1[[#This Row],[Location]],LEN(Table1[[#This Row],[Location]])-FIND(",",Table1[[#This Row],[Location]])))</f>
        <v>New York</v>
      </c>
      <c r="F432" t="s">
        <v>492</v>
      </c>
      <c r="G432" t="s">
        <v>35</v>
      </c>
      <c r="H432" t="s">
        <v>26</v>
      </c>
      <c r="I432">
        <v>96728</v>
      </c>
      <c r="J432">
        <v>341</v>
      </c>
      <c r="K432">
        <v>69700</v>
      </c>
      <c r="L432">
        <v>91910</v>
      </c>
      <c r="M432">
        <v>15</v>
      </c>
      <c r="N432">
        <v>6587.2433309999997</v>
      </c>
      <c r="O432" s="7">
        <f>IFERROR(Table1[[#This Row],[Clicks]]/Table1[[#This Row],[Impressions]],0)</f>
        <v>3.5253494334629063E-3</v>
      </c>
      <c r="P432" s="5">
        <f>IFERROR(Table1[[#This Row],[Total Conversions]]/Table1[[#This Row],[Clicks]],0)</f>
        <v>4.398826979472141E-2</v>
      </c>
      <c r="Q432" s="10">
        <f>IFERROR(Table1[[#This Row],[Gross Cost]]/Table1[[#This Row],[Total Conversions]],0)</f>
        <v>439.1495554</v>
      </c>
      <c r="R432" s="10">
        <f>IFERROR(Table1[[#This Row],[Gross Cost]]/(Table1[[#This Row],[Impressions]]/1000),0)</f>
        <v>68.100687815317173</v>
      </c>
      <c r="S432" s="5">
        <f>IFERROR(Table1[[#This Row],[Viewable Impressions]]/Table1[[#This Row],[Measurable Impressions]],0)</f>
        <v>0.75835056033075832</v>
      </c>
      <c r="T432" s="10">
        <f>IFERROR(1000*Table1[[#This Row],[Gross Cost]]/Table1[[#This Row],[Viewable Impressions]],0)</f>
        <v>94.508512639885211</v>
      </c>
      <c r="U432" s="10"/>
    </row>
    <row r="433" spans="1:21" x14ac:dyDescent="0.2">
      <c r="A433" t="s">
        <v>732</v>
      </c>
      <c r="B433" t="s">
        <v>14</v>
      </c>
      <c r="C433" t="s">
        <v>22</v>
      </c>
      <c r="D433" t="s">
        <v>54</v>
      </c>
      <c r="E433" t="str">
        <f>TRIM(RIGHT(Table1[[#This Row],[Location]],LEN(Table1[[#This Row],[Location]])-FIND(",",Table1[[#This Row],[Location]])))</f>
        <v>Florida</v>
      </c>
      <c r="F433" t="s">
        <v>731</v>
      </c>
      <c r="G433" t="s">
        <v>18</v>
      </c>
      <c r="H433" t="s">
        <v>51</v>
      </c>
      <c r="I433">
        <v>22501</v>
      </c>
      <c r="J433">
        <v>120</v>
      </c>
      <c r="K433">
        <v>13003</v>
      </c>
      <c r="L433">
        <v>21286</v>
      </c>
      <c r="M433">
        <v>9</v>
      </c>
      <c r="N433">
        <v>1522.517949</v>
      </c>
      <c r="O433" s="7">
        <f>IFERROR(Table1[[#This Row],[Clicks]]/Table1[[#This Row],[Impressions]],0)</f>
        <v>5.3330963068308071E-3</v>
      </c>
      <c r="P433" s="5">
        <f>IFERROR(Table1[[#This Row],[Total Conversions]]/Table1[[#This Row],[Clicks]],0)</f>
        <v>7.4999999999999997E-2</v>
      </c>
      <c r="Q433" s="10">
        <f>IFERROR(Table1[[#This Row],[Gross Cost]]/Table1[[#This Row],[Total Conversions]],0)</f>
        <v>169.16866100000001</v>
      </c>
      <c r="R433" s="10">
        <f>IFERROR(Table1[[#This Row],[Gross Cost]]/(Table1[[#This Row],[Impressions]]/1000),0)</f>
        <v>67.664457090795963</v>
      </c>
      <c r="S433" s="5">
        <f>IFERROR(Table1[[#This Row],[Viewable Impressions]]/Table1[[#This Row],[Measurable Impressions]],0)</f>
        <v>0.61087099502020104</v>
      </c>
      <c r="T433" s="10">
        <f>IFERROR(1000*Table1[[#This Row],[Gross Cost]]/Table1[[#This Row],[Viewable Impressions]],0)</f>
        <v>117.0897445974006</v>
      </c>
      <c r="U433" s="10"/>
    </row>
    <row r="434" spans="1:21" x14ac:dyDescent="0.2">
      <c r="A434" t="s">
        <v>588</v>
      </c>
      <c r="B434" t="s">
        <v>21</v>
      </c>
      <c r="C434" t="s">
        <v>41</v>
      </c>
      <c r="D434" t="s">
        <v>355</v>
      </c>
      <c r="E434" t="str">
        <f>TRIM(RIGHT(Table1[[#This Row],[Location]],LEN(Table1[[#This Row],[Location]])-FIND(",",Table1[[#This Row],[Location]])))</f>
        <v>Illinois</v>
      </c>
      <c r="F434" t="s">
        <v>589</v>
      </c>
      <c r="G434" t="s">
        <v>25</v>
      </c>
      <c r="H434" t="s">
        <v>26</v>
      </c>
      <c r="I434">
        <v>90463</v>
      </c>
      <c r="J434">
        <v>204</v>
      </c>
      <c r="K434">
        <v>803</v>
      </c>
      <c r="L434">
        <v>2465</v>
      </c>
      <c r="M434">
        <v>9</v>
      </c>
      <c r="N434">
        <v>6120.6025140000002</v>
      </c>
      <c r="O434" s="7">
        <f>IFERROR(Table1[[#This Row],[Clicks]]/Table1[[#This Row],[Impressions]],0)</f>
        <v>2.2550656069332212E-3</v>
      </c>
      <c r="P434" s="5">
        <f>IFERROR(Table1[[#This Row],[Total Conversions]]/Table1[[#This Row],[Clicks]],0)</f>
        <v>4.4117647058823532E-2</v>
      </c>
      <c r="Q434" s="10">
        <f>IFERROR(Table1[[#This Row],[Gross Cost]]/Table1[[#This Row],[Total Conversions]],0)</f>
        <v>680.06694600000003</v>
      </c>
      <c r="R434" s="10">
        <f>IFERROR(Table1[[#This Row],[Gross Cost]]/(Table1[[#This Row],[Impressions]]/1000),0)</f>
        <v>67.658628544266719</v>
      </c>
      <c r="S434" s="5">
        <f>IFERROR(Table1[[#This Row],[Viewable Impressions]]/Table1[[#This Row],[Measurable Impressions]],0)</f>
        <v>0.32576064908722108</v>
      </c>
      <c r="T434" s="10">
        <f>IFERROR(1000*Table1[[#This Row],[Gross Cost]]/Table1[[#This Row],[Viewable Impressions]],0)</f>
        <v>7622.1700049813207</v>
      </c>
      <c r="U434" s="10"/>
    </row>
    <row r="435" spans="1:21" x14ac:dyDescent="0.2">
      <c r="A435" t="s">
        <v>224</v>
      </c>
      <c r="B435" t="s">
        <v>14</v>
      </c>
      <c r="C435" t="s">
        <v>41</v>
      </c>
      <c r="D435" t="s">
        <v>54</v>
      </c>
      <c r="E435" t="str">
        <f>TRIM(RIGHT(Table1[[#This Row],[Location]],LEN(Table1[[#This Row],[Location]])-FIND(",",Table1[[#This Row],[Location]])))</f>
        <v>Florida</v>
      </c>
      <c r="F435" t="s">
        <v>225</v>
      </c>
      <c r="G435" t="s">
        <v>18</v>
      </c>
      <c r="H435" t="s">
        <v>51</v>
      </c>
      <c r="I435">
        <v>31443</v>
      </c>
      <c r="J435">
        <v>70</v>
      </c>
      <c r="K435">
        <v>19134</v>
      </c>
      <c r="L435">
        <v>28059</v>
      </c>
      <c r="M435">
        <v>9</v>
      </c>
      <c r="N435">
        <v>2122.7658879999999</v>
      </c>
      <c r="O435" s="7">
        <f>IFERROR(Table1[[#This Row],[Clicks]]/Table1[[#This Row],[Impressions]],0)</f>
        <v>2.2262506758260981E-3</v>
      </c>
      <c r="P435" s="5">
        <f>IFERROR(Table1[[#This Row],[Total Conversions]]/Table1[[#This Row],[Clicks]],0)</f>
        <v>0.12857142857142856</v>
      </c>
      <c r="Q435" s="10">
        <f>IFERROR(Table1[[#This Row],[Gross Cost]]/Table1[[#This Row],[Total Conversions]],0)</f>
        <v>235.86287644444442</v>
      </c>
      <c r="R435" s="10">
        <f>IFERROR(Table1[[#This Row],[Gross Cost]]/(Table1[[#This Row],[Impressions]]/1000),0)</f>
        <v>67.511557039722661</v>
      </c>
      <c r="S435" s="5">
        <f>IFERROR(Table1[[#This Row],[Viewable Impressions]]/Table1[[#This Row],[Measurable Impressions]],0)</f>
        <v>0.68192023949534908</v>
      </c>
      <c r="T435" s="10">
        <f>IFERROR(1000*Table1[[#This Row],[Gross Cost]]/Table1[[#This Row],[Viewable Impressions]],0)</f>
        <v>110.94208675655899</v>
      </c>
      <c r="U435" s="10"/>
    </row>
    <row r="436" spans="1:21" x14ac:dyDescent="0.2">
      <c r="A436" t="s">
        <v>375</v>
      </c>
      <c r="B436" t="s">
        <v>21</v>
      </c>
      <c r="C436" t="s">
        <v>41</v>
      </c>
      <c r="D436" t="s">
        <v>77</v>
      </c>
      <c r="E436" t="str">
        <f>TRIM(RIGHT(Table1[[#This Row],[Location]],LEN(Table1[[#This Row],[Location]])-FIND(",",Table1[[#This Row],[Location]])))</f>
        <v>New York</v>
      </c>
      <c r="F436" t="s">
        <v>364</v>
      </c>
      <c r="G436" t="s">
        <v>18</v>
      </c>
      <c r="H436" t="s">
        <v>26</v>
      </c>
      <c r="I436">
        <v>22163</v>
      </c>
      <c r="J436">
        <v>55</v>
      </c>
      <c r="K436">
        <v>2368</v>
      </c>
      <c r="L436">
        <v>8130</v>
      </c>
      <c r="M436">
        <v>3</v>
      </c>
      <c r="N436">
        <v>1493.7793280000001</v>
      </c>
      <c r="O436" s="7">
        <f>IFERROR(Table1[[#This Row],[Clicks]]/Table1[[#This Row],[Impressions]],0)</f>
        <v>2.4816134999774398E-3</v>
      </c>
      <c r="P436" s="5">
        <f>IFERROR(Table1[[#This Row],[Total Conversions]]/Table1[[#This Row],[Clicks]],0)</f>
        <v>5.4545454545454543E-2</v>
      </c>
      <c r="Q436" s="10">
        <f>IFERROR(Table1[[#This Row],[Gross Cost]]/Table1[[#This Row],[Total Conversions]],0)</f>
        <v>497.92644266666667</v>
      </c>
      <c r="R436" s="10">
        <f>IFERROR(Table1[[#This Row],[Gross Cost]]/(Table1[[#This Row],[Impressions]]/1000),0)</f>
        <v>67.399689933673244</v>
      </c>
      <c r="S436" s="5">
        <f>IFERROR(Table1[[#This Row],[Viewable Impressions]]/Table1[[#This Row],[Measurable Impressions]],0)</f>
        <v>0.29126691266912669</v>
      </c>
      <c r="T436" s="10">
        <f>IFERROR(1000*Table1[[#This Row],[Gross Cost]]/Table1[[#This Row],[Viewable Impressions]],0)</f>
        <v>630.81897297297292</v>
      </c>
      <c r="U436" s="10"/>
    </row>
    <row r="437" spans="1:21" x14ac:dyDescent="0.2">
      <c r="A437" t="s">
        <v>702</v>
      </c>
      <c r="B437" t="s">
        <v>21</v>
      </c>
      <c r="C437" t="s">
        <v>41</v>
      </c>
      <c r="D437" t="s">
        <v>83</v>
      </c>
      <c r="E437" t="str">
        <f>TRIM(RIGHT(Table1[[#This Row],[Location]],LEN(Table1[[#This Row],[Location]])-FIND(",",Table1[[#This Row],[Location]])))</f>
        <v>Florida</v>
      </c>
      <c r="F437" t="s">
        <v>701</v>
      </c>
      <c r="G437" t="s">
        <v>116</v>
      </c>
      <c r="H437" t="s">
        <v>26</v>
      </c>
      <c r="I437">
        <v>113262</v>
      </c>
      <c r="J437">
        <v>380</v>
      </c>
      <c r="K437">
        <v>95762</v>
      </c>
      <c r="L437">
        <v>104612</v>
      </c>
      <c r="M437">
        <v>4</v>
      </c>
      <c r="N437">
        <v>7443.4832329999999</v>
      </c>
      <c r="O437" s="7">
        <f>IFERROR(Table1[[#This Row],[Clicks]]/Table1[[#This Row],[Impressions]],0)</f>
        <v>3.3550528862283909E-3</v>
      </c>
      <c r="P437" s="5">
        <f>IFERROR(Table1[[#This Row],[Total Conversions]]/Table1[[#This Row],[Clicks]],0)</f>
        <v>1.0526315789473684E-2</v>
      </c>
      <c r="Q437" s="10">
        <f>IFERROR(Table1[[#This Row],[Gross Cost]]/Table1[[#This Row],[Total Conversions]],0)</f>
        <v>1860.87080825</v>
      </c>
      <c r="R437" s="10">
        <f>IFERROR(Table1[[#This Row],[Gross Cost]]/(Table1[[#This Row],[Impressions]]/1000),0)</f>
        <v>65.719157643340225</v>
      </c>
      <c r="S437" s="5">
        <f>IFERROR(Table1[[#This Row],[Viewable Impressions]]/Table1[[#This Row],[Measurable Impressions]],0)</f>
        <v>0.91540167476006573</v>
      </c>
      <c r="T437" s="10">
        <f>IFERROR(1000*Table1[[#This Row],[Gross Cost]]/Table1[[#This Row],[Viewable Impressions]],0)</f>
        <v>77.728986790167284</v>
      </c>
      <c r="U437" s="10"/>
    </row>
    <row r="438" spans="1:21" x14ac:dyDescent="0.2">
      <c r="A438" t="s">
        <v>924</v>
      </c>
      <c r="B438" t="s">
        <v>14</v>
      </c>
      <c r="C438" t="s">
        <v>22</v>
      </c>
      <c r="D438" t="s">
        <v>77</v>
      </c>
      <c r="E438" t="str">
        <f>TRIM(RIGHT(Table1[[#This Row],[Location]],LEN(Table1[[#This Row],[Location]])-FIND(",",Table1[[#This Row],[Location]])))</f>
        <v>New York</v>
      </c>
      <c r="F438" t="s">
        <v>918</v>
      </c>
      <c r="G438" t="s">
        <v>135</v>
      </c>
      <c r="H438" t="s">
        <v>51</v>
      </c>
      <c r="I438">
        <v>96779</v>
      </c>
      <c r="J438">
        <v>299</v>
      </c>
      <c r="K438">
        <v>9831</v>
      </c>
      <c r="L438">
        <v>63640</v>
      </c>
      <c r="M438">
        <v>12</v>
      </c>
      <c r="N438">
        <v>6317.5107539999999</v>
      </c>
      <c r="O438" s="7">
        <f>IFERROR(Table1[[#This Row],[Clicks]]/Table1[[#This Row],[Impressions]],0)</f>
        <v>3.0895132208433648E-3</v>
      </c>
      <c r="P438" s="5">
        <f>IFERROR(Table1[[#This Row],[Total Conversions]]/Table1[[#This Row],[Clicks]],0)</f>
        <v>4.0133779264214048E-2</v>
      </c>
      <c r="Q438" s="10">
        <f>IFERROR(Table1[[#This Row],[Gross Cost]]/Table1[[#This Row],[Total Conversions]],0)</f>
        <v>526.45922949999999</v>
      </c>
      <c r="R438" s="10">
        <f>IFERROR(Table1[[#This Row],[Gross Cost]]/(Table1[[#This Row],[Impressions]]/1000),0)</f>
        <v>65.277702332117499</v>
      </c>
      <c r="S438" s="5">
        <f>IFERROR(Table1[[#This Row],[Viewable Impressions]]/Table1[[#This Row],[Measurable Impressions]],0)</f>
        <v>0.15447831552482716</v>
      </c>
      <c r="T438" s="10">
        <f>IFERROR(1000*Table1[[#This Row],[Gross Cost]]/Table1[[#This Row],[Viewable Impressions]],0)</f>
        <v>642.61120476045164</v>
      </c>
      <c r="U438" s="10"/>
    </row>
    <row r="439" spans="1:21" x14ac:dyDescent="0.2">
      <c r="A439" t="s">
        <v>395</v>
      </c>
      <c r="B439" t="s">
        <v>14</v>
      </c>
      <c r="C439" t="s">
        <v>15</v>
      </c>
      <c r="D439" t="s">
        <v>38</v>
      </c>
      <c r="E439" t="str">
        <f>TRIM(RIGHT(Table1[[#This Row],[Location]],LEN(Table1[[#This Row],[Location]])-FIND(",",Table1[[#This Row],[Location]])))</f>
        <v>Tennessee</v>
      </c>
      <c r="F439" t="s">
        <v>389</v>
      </c>
      <c r="G439" t="s">
        <v>18</v>
      </c>
      <c r="H439" t="s">
        <v>51</v>
      </c>
      <c r="I439">
        <v>69239</v>
      </c>
      <c r="J439">
        <v>160</v>
      </c>
      <c r="K439">
        <v>23112</v>
      </c>
      <c r="L439">
        <v>65390</v>
      </c>
      <c r="M439">
        <v>1</v>
      </c>
      <c r="N439">
        <v>4514.9527239999998</v>
      </c>
      <c r="O439" s="7">
        <f>IFERROR(Table1[[#This Row],[Clicks]]/Table1[[#This Row],[Impressions]],0)</f>
        <v>2.3108363783416862E-3</v>
      </c>
      <c r="P439" s="5">
        <f>IFERROR(Table1[[#This Row],[Total Conversions]]/Table1[[#This Row],[Clicks]],0)</f>
        <v>6.2500000000000003E-3</v>
      </c>
      <c r="Q439" s="10">
        <f>IFERROR(Table1[[#This Row],[Gross Cost]]/Table1[[#This Row],[Total Conversions]],0)</f>
        <v>4514.9527239999998</v>
      </c>
      <c r="R439" s="10">
        <f>IFERROR(Table1[[#This Row],[Gross Cost]]/(Table1[[#This Row],[Impressions]]/1000),0)</f>
        <v>65.208231256950555</v>
      </c>
      <c r="S439" s="5">
        <f>IFERROR(Table1[[#This Row],[Viewable Impressions]]/Table1[[#This Row],[Measurable Impressions]],0)</f>
        <v>0.35344853953203853</v>
      </c>
      <c r="T439" s="10">
        <f>IFERROR(1000*Table1[[#This Row],[Gross Cost]]/Table1[[#This Row],[Viewable Impressions]],0)</f>
        <v>195.35101782623744</v>
      </c>
      <c r="U439" s="10"/>
    </row>
    <row r="440" spans="1:21" x14ac:dyDescent="0.2">
      <c r="A440" t="s">
        <v>471</v>
      </c>
      <c r="B440" t="s">
        <v>21</v>
      </c>
      <c r="C440" t="s">
        <v>22</v>
      </c>
      <c r="D440" t="s">
        <v>355</v>
      </c>
      <c r="E440" t="str">
        <f>TRIM(RIGHT(Table1[[#This Row],[Location]],LEN(Table1[[#This Row],[Location]])-FIND(",",Table1[[#This Row],[Location]])))</f>
        <v>Illinois</v>
      </c>
      <c r="F440" t="s">
        <v>468</v>
      </c>
      <c r="G440" t="s">
        <v>18</v>
      </c>
      <c r="H440" t="s">
        <v>26</v>
      </c>
      <c r="I440">
        <v>22180</v>
      </c>
      <c r="J440">
        <v>60</v>
      </c>
      <c r="K440">
        <v>4835</v>
      </c>
      <c r="L440">
        <v>19291</v>
      </c>
      <c r="M440">
        <v>9</v>
      </c>
      <c r="N440">
        <v>1441.631095</v>
      </c>
      <c r="O440" s="7">
        <f>IFERROR(Table1[[#This Row],[Clicks]]/Table1[[#This Row],[Impressions]],0)</f>
        <v>2.7051397655545538E-3</v>
      </c>
      <c r="P440" s="5">
        <f>IFERROR(Table1[[#This Row],[Total Conversions]]/Table1[[#This Row],[Clicks]],0)</f>
        <v>0.15</v>
      </c>
      <c r="Q440" s="10">
        <f>IFERROR(Table1[[#This Row],[Gross Cost]]/Table1[[#This Row],[Total Conversions]],0)</f>
        <v>160.18123277777778</v>
      </c>
      <c r="R440" s="10">
        <f>IFERROR(Table1[[#This Row],[Gross Cost]]/(Table1[[#This Row],[Impressions]]/1000),0)</f>
        <v>64.99689337240757</v>
      </c>
      <c r="S440" s="5">
        <f>IFERROR(Table1[[#This Row],[Viewable Impressions]]/Table1[[#This Row],[Measurable Impressions]],0)</f>
        <v>0.25063501114509357</v>
      </c>
      <c r="T440" s="10">
        <f>IFERROR(1000*Table1[[#This Row],[Gross Cost]]/Table1[[#This Row],[Viewable Impressions]],0)</f>
        <v>298.16568665977246</v>
      </c>
      <c r="U440" s="10"/>
    </row>
    <row r="441" spans="1:21" x14ac:dyDescent="0.2">
      <c r="A441" t="s">
        <v>482</v>
      </c>
      <c r="B441" t="s">
        <v>14</v>
      </c>
      <c r="C441" t="s">
        <v>30</v>
      </c>
      <c r="D441" t="s">
        <v>54</v>
      </c>
      <c r="E441" t="str">
        <f>TRIM(RIGHT(Table1[[#This Row],[Location]],LEN(Table1[[#This Row],[Location]])-FIND(",",Table1[[#This Row],[Location]])))</f>
        <v>Florida</v>
      </c>
      <c r="F441" t="s">
        <v>483</v>
      </c>
      <c r="G441" t="s">
        <v>47</v>
      </c>
      <c r="H441" t="s">
        <v>51</v>
      </c>
      <c r="I441">
        <v>31813</v>
      </c>
      <c r="J441">
        <v>84</v>
      </c>
      <c r="K441">
        <v>14149</v>
      </c>
      <c r="L441">
        <v>21281</v>
      </c>
      <c r="M441">
        <v>13</v>
      </c>
      <c r="N441">
        <v>2060.9938820000002</v>
      </c>
      <c r="O441" s="7">
        <f>IFERROR(Table1[[#This Row],[Clicks]]/Table1[[#This Row],[Impressions]],0)</f>
        <v>2.6404300128878132E-3</v>
      </c>
      <c r="P441" s="5">
        <f>IFERROR(Table1[[#This Row],[Total Conversions]]/Table1[[#This Row],[Clicks]],0)</f>
        <v>0.15476190476190477</v>
      </c>
      <c r="Q441" s="10">
        <f>IFERROR(Table1[[#This Row],[Gross Cost]]/Table1[[#This Row],[Total Conversions]],0)</f>
        <v>158.53799092307693</v>
      </c>
      <c r="R441" s="10">
        <f>IFERROR(Table1[[#This Row],[Gross Cost]]/(Table1[[#This Row],[Impressions]]/1000),0)</f>
        <v>64.784644076321015</v>
      </c>
      <c r="S441" s="5">
        <f>IFERROR(Table1[[#This Row],[Viewable Impressions]]/Table1[[#This Row],[Measurable Impressions]],0)</f>
        <v>0.66486537286781633</v>
      </c>
      <c r="T441" s="10">
        <f>IFERROR(1000*Table1[[#This Row],[Gross Cost]]/Table1[[#This Row],[Viewable Impressions]],0)</f>
        <v>145.66357212523855</v>
      </c>
      <c r="U441" s="10"/>
    </row>
    <row r="442" spans="1:21" x14ac:dyDescent="0.2">
      <c r="A442" t="s">
        <v>866</v>
      </c>
      <c r="B442" t="s">
        <v>14</v>
      </c>
      <c r="C442" t="s">
        <v>30</v>
      </c>
      <c r="D442" t="s">
        <v>77</v>
      </c>
      <c r="E442" t="str">
        <f>TRIM(RIGHT(Table1[[#This Row],[Location]],LEN(Table1[[#This Row],[Location]])-FIND(",",Table1[[#This Row],[Location]])))</f>
        <v>New York</v>
      </c>
      <c r="F442" t="s">
        <v>864</v>
      </c>
      <c r="G442" t="s">
        <v>18</v>
      </c>
      <c r="H442" t="s">
        <v>51</v>
      </c>
      <c r="I442">
        <v>95655</v>
      </c>
      <c r="J442">
        <v>275</v>
      </c>
      <c r="K442">
        <v>9202</v>
      </c>
      <c r="L442">
        <v>85273</v>
      </c>
      <c r="M442">
        <v>24</v>
      </c>
      <c r="N442">
        <v>6189.4160819999997</v>
      </c>
      <c r="O442" s="7">
        <f>IFERROR(Table1[[#This Row],[Clicks]]/Table1[[#This Row],[Impressions]],0)</f>
        <v>2.8749150593277927E-3</v>
      </c>
      <c r="P442" s="5">
        <f>IFERROR(Table1[[#This Row],[Total Conversions]]/Table1[[#This Row],[Clicks]],0)</f>
        <v>8.727272727272728E-2</v>
      </c>
      <c r="Q442" s="10">
        <f>IFERROR(Table1[[#This Row],[Gross Cost]]/Table1[[#This Row],[Total Conversions]],0)</f>
        <v>257.89233674999997</v>
      </c>
      <c r="R442" s="10">
        <f>IFERROR(Table1[[#This Row],[Gross Cost]]/(Table1[[#This Row],[Impressions]]/1000),0)</f>
        <v>64.705620009408804</v>
      </c>
      <c r="S442" s="5">
        <f>IFERROR(Table1[[#This Row],[Viewable Impressions]]/Table1[[#This Row],[Measurable Impressions]],0)</f>
        <v>0.10791223482227669</v>
      </c>
      <c r="T442" s="10">
        <f>IFERROR(1000*Table1[[#This Row],[Gross Cost]]/Table1[[#This Row],[Viewable Impressions]],0)</f>
        <v>672.61639665290147</v>
      </c>
      <c r="U442" s="10"/>
    </row>
    <row r="443" spans="1:21" x14ac:dyDescent="0.2">
      <c r="A443" t="s">
        <v>393</v>
      </c>
      <c r="B443" t="s">
        <v>60</v>
      </c>
      <c r="C443" t="s">
        <v>30</v>
      </c>
      <c r="D443" t="s">
        <v>94</v>
      </c>
      <c r="E443" t="str">
        <f>TRIM(RIGHT(Table1[[#This Row],[Location]],LEN(Table1[[#This Row],[Location]])-FIND(",",Table1[[#This Row],[Location]])))</f>
        <v>Florida</v>
      </c>
      <c r="F443" t="s">
        <v>389</v>
      </c>
      <c r="G443" t="s">
        <v>160</v>
      </c>
      <c r="H443" t="s">
        <v>26</v>
      </c>
      <c r="I443">
        <v>88022</v>
      </c>
      <c r="J443">
        <v>370</v>
      </c>
      <c r="K443">
        <v>45972</v>
      </c>
      <c r="L443">
        <v>83922</v>
      </c>
      <c r="M443">
        <v>11</v>
      </c>
      <c r="N443">
        <v>5669.1447600000001</v>
      </c>
      <c r="O443" s="7">
        <f>IFERROR(Table1[[#This Row],[Clicks]]/Table1[[#This Row],[Impressions]],0)</f>
        <v>4.2034945809002293E-3</v>
      </c>
      <c r="P443" s="5">
        <f>IFERROR(Table1[[#This Row],[Total Conversions]]/Table1[[#This Row],[Clicks]],0)</f>
        <v>2.9729729729729731E-2</v>
      </c>
      <c r="Q443" s="10">
        <f>IFERROR(Table1[[#This Row],[Gross Cost]]/Table1[[#This Row],[Total Conversions]],0)</f>
        <v>515.37679636363634</v>
      </c>
      <c r="R443" s="10">
        <f>IFERROR(Table1[[#This Row],[Gross Cost]]/(Table1[[#This Row],[Impressions]]/1000),0)</f>
        <v>64.405998045943051</v>
      </c>
      <c r="S443" s="5">
        <f>IFERROR(Table1[[#This Row],[Viewable Impressions]]/Table1[[#This Row],[Measurable Impressions]],0)</f>
        <v>0.54779438049617502</v>
      </c>
      <c r="T443" s="10">
        <f>IFERROR(1000*Table1[[#This Row],[Gross Cost]]/Table1[[#This Row],[Viewable Impressions]],0)</f>
        <v>123.31734012007308</v>
      </c>
      <c r="U443" s="10"/>
    </row>
    <row r="444" spans="1:21" x14ac:dyDescent="0.2">
      <c r="A444" t="s">
        <v>53</v>
      </c>
      <c r="B444" t="s">
        <v>14</v>
      </c>
      <c r="C444" t="s">
        <v>22</v>
      </c>
      <c r="D444" t="s">
        <v>54</v>
      </c>
      <c r="E444" t="str">
        <f>TRIM(RIGHT(Table1[[#This Row],[Location]],LEN(Table1[[#This Row],[Location]])-FIND(",",Table1[[#This Row],[Location]])))</f>
        <v>Florida</v>
      </c>
      <c r="F444" t="s">
        <v>24</v>
      </c>
      <c r="G444" t="s">
        <v>45</v>
      </c>
      <c r="H444" t="s">
        <v>26</v>
      </c>
      <c r="I444">
        <v>23829</v>
      </c>
      <c r="J444">
        <v>75</v>
      </c>
      <c r="K444">
        <v>8326</v>
      </c>
      <c r="L444">
        <v>18812</v>
      </c>
      <c r="M444">
        <v>5</v>
      </c>
      <c r="N444">
        <v>1534.6980000000001</v>
      </c>
      <c r="O444" s="7">
        <f>IFERROR(Table1[[#This Row],[Clicks]]/Table1[[#This Row],[Impressions]],0)</f>
        <v>3.1474254060178774E-3</v>
      </c>
      <c r="P444" s="5">
        <f>IFERROR(Table1[[#This Row],[Total Conversions]]/Table1[[#This Row],[Clicks]],0)</f>
        <v>6.6666666666666666E-2</v>
      </c>
      <c r="Q444" s="10">
        <f>IFERROR(Table1[[#This Row],[Gross Cost]]/Table1[[#This Row],[Total Conversions]],0)</f>
        <v>306.93960000000004</v>
      </c>
      <c r="R444" s="10">
        <f>IFERROR(Table1[[#This Row],[Gross Cost]]/(Table1[[#This Row],[Impressions]]/1000),0)</f>
        <v>64.404633010197657</v>
      </c>
      <c r="S444" s="5">
        <f>IFERROR(Table1[[#This Row],[Viewable Impressions]]/Table1[[#This Row],[Measurable Impressions]],0)</f>
        <v>0.44258983627471826</v>
      </c>
      <c r="T444" s="10">
        <f>IFERROR(1000*Table1[[#This Row],[Gross Cost]]/Table1[[#This Row],[Viewable Impressions]],0)</f>
        <v>184.32596685082873</v>
      </c>
      <c r="U444" s="10"/>
    </row>
    <row r="445" spans="1:21" x14ac:dyDescent="0.2">
      <c r="A445" t="s">
        <v>704</v>
      </c>
      <c r="B445" t="s">
        <v>14</v>
      </c>
      <c r="C445" t="s">
        <v>41</v>
      </c>
      <c r="D445" t="s">
        <v>16</v>
      </c>
      <c r="E445" t="str">
        <f>TRIM(RIGHT(Table1[[#This Row],[Location]],LEN(Table1[[#This Row],[Location]])-FIND(",",Table1[[#This Row],[Location]])))</f>
        <v>California</v>
      </c>
      <c r="F445" t="s">
        <v>701</v>
      </c>
      <c r="G445" t="s">
        <v>18</v>
      </c>
      <c r="H445" t="s">
        <v>51</v>
      </c>
      <c r="I445">
        <v>102958</v>
      </c>
      <c r="J445">
        <v>320</v>
      </c>
      <c r="K445">
        <v>86884</v>
      </c>
      <c r="L445">
        <v>94687</v>
      </c>
      <c r="M445">
        <v>12</v>
      </c>
      <c r="N445">
        <v>6624.2211749999997</v>
      </c>
      <c r="O445" s="7">
        <f>IFERROR(Table1[[#This Row],[Clicks]]/Table1[[#This Row],[Impressions]],0)</f>
        <v>3.1080634821966237E-3</v>
      </c>
      <c r="P445" s="5">
        <f>IFERROR(Table1[[#This Row],[Total Conversions]]/Table1[[#This Row],[Clicks]],0)</f>
        <v>3.7499999999999999E-2</v>
      </c>
      <c r="Q445" s="10">
        <f>IFERROR(Table1[[#This Row],[Gross Cost]]/Table1[[#This Row],[Total Conversions]],0)</f>
        <v>552.01843124999994</v>
      </c>
      <c r="R445" s="10">
        <f>IFERROR(Table1[[#This Row],[Gross Cost]]/(Table1[[#This Row],[Impressions]]/1000),0)</f>
        <v>64.339062287534716</v>
      </c>
      <c r="S445" s="5">
        <f>IFERROR(Table1[[#This Row],[Viewable Impressions]]/Table1[[#This Row],[Measurable Impressions]],0)</f>
        <v>0.91759164404828542</v>
      </c>
      <c r="T445" s="10">
        <f>IFERROR(1000*Table1[[#This Row],[Gross Cost]]/Table1[[#This Row],[Viewable Impressions]],0)</f>
        <v>76.24212944846002</v>
      </c>
      <c r="U445" s="10"/>
    </row>
    <row r="446" spans="1:21" x14ac:dyDescent="0.2">
      <c r="A446" t="s">
        <v>743</v>
      </c>
      <c r="B446" t="s">
        <v>14</v>
      </c>
      <c r="C446" t="s">
        <v>22</v>
      </c>
      <c r="D446" t="s">
        <v>77</v>
      </c>
      <c r="E446" t="str">
        <f>TRIM(RIGHT(Table1[[#This Row],[Location]],LEN(Table1[[#This Row],[Location]])-FIND(",",Table1[[#This Row],[Location]])))</f>
        <v>New York</v>
      </c>
      <c r="F446" t="s">
        <v>742</v>
      </c>
      <c r="G446" t="s">
        <v>45</v>
      </c>
      <c r="H446" t="s">
        <v>51</v>
      </c>
      <c r="I446">
        <v>109372</v>
      </c>
      <c r="J446">
        <v>364</v>
      </c>
      <c r="K446">
        <v>58336</v>
      </c>
      <c r="L446">
        <v>103569</v>
      </c>
      <c r="M446">
        <v>21</v>
      </c>
      <c r="N446">
        <v>6928.0062019999996</v>
      </c>
      <c r="O446" s="7">
        <f>IFERROR(Table1[[#This Row],[Clicks]]/Table1[[#This Row],[Impressions]],0)</f>
        <v>3.3280912847895258E-3</v>
      </c>
      <c r="P446" s="5">
        <f>IFERROR(Table1[[#This Row],[Total Conversions]]/Table1[[#This Row],[Clicks]],0)</f>
        <v>5.7692307692307696E-2</v>
      </c>
      <c r="Q446" s="10">
        <f>IFERROR(Table1[[#This Row],[Gross Cost]]/Table1[[#This Row],[Total Conversions]],0)</f>
        <v>329.9050572380952</v>
      </c>
      <c r="R446" s="10">
        <f>IFERROR(Table1[[#This Row],[Gross Cost]]/(Table1[[#This Row],[Impressions]]/1000),0)</f>
        <v>63.343508411659286</v>
      </c>
      <c r="S446" s="5">
        <f>IFERROR(Table1[[#This Row],[Viewable Impressions]]/Table1[[#This Row],[Measurable Impressions]],0)</f>
        <v>0.56325734534464944</v>
      </c>
      <c r="T446" s="10">
        <f>IFERROR(1000*Table1[[#This Row],[Gross Cost]]/Table1[[#This Row],[Viewable Impressions]],0)</f>
        <v>118.760391559243</v>
      </c>
      <c r="U446" s="10"/>
    </row>
    <row r="447" spans="1:21" x14ac:dyDescent="0.2">
      <c r="A447" t="s">
        <v>113</v>
      </c>
      <c r="B447" t="s">
        <v>21</v>
      </c>
      <c r="C447" t="s">
        <v>41</v>
      </c>
      <c r="D447" t="s">
        <v>34</v>
      </c>
      <c r="E447" t="str">
        <f>TRIM(RIGHT(Table1[[#This Row],[Location]],LEN(Table1[[#This Row],[Location]])-FIND(",",Table1[[#This Row],[Location]])))</f>
        <v>Illinois</v>
      </c>
      <c r="F447" t="s">
        <v>114</v>
      </c>
      <c r="G447" t="s">
        <v>18</v>
      </c>
      <c r="H447" t="s">
        <v>26</v>
      </c>
      <c r="I447">
        <v>108559</v>
      </c>
      <c r="J447">
        <v>212</v>
      </c>
      <c r="K447">
        <v>79254</v>
      </c>
      <c r="L447">
        <v>100563</v>
      </c>
      <c r="M447">
        <v>7</v>
      </c>
      <c r="N447">
        <v>6850.5764829999998</v>
      </c>
      <c r="O447" s="7">
        <f>IFERROR(Table1[[#This Row],[Clicks]]/Table1[[#This Row],[Impressions]],0)</f>
        <v>1.952855129468768E-3</v>
      </c>
      <c r="P447" s="5">
        <f>IFERROR(Table1[[#This Row],[Total Conversions]]/Table1[[#This Row],[Clicks]],0)</f>
        <v>3.3018867924528301E-2</v>
      </c>
      <c r="Q447" s="10">
        <f>IFERROR(Table1[[#This Row],[Gross Cost]]/Table1[[#This Row],[Total Conversions]],0)</f>
        <v>978.65378328571421</v>
      </c>
      <c r="R447" s="10">
        <f>IFERROR(Table1[[#This Row],[Gross Cost]]/(Table1[[#This Row],[Impressions]]/1000),0)</f>
        <v>63.104638795493692</v>
      </c>
      <c r="S447" s="5">
        <f>IFERROR(Table1[[#This Row],[Viewable Impressions]]/Table1[[#This Row],[Measurable Impressions]],0)</f>
        <v>0.78810298022135383</v>
      </c>
      <c r="T447" s="10">
        <f>IFERROR(1000*Table1[[#This Row],[Gross Cost]]/Table1[[#This Row],[Viewable Impressions]],0)</f>
        <v>86.43824265021324</v>
      </c>
      <c r="U447" s="10"/>
    </row>
    <row r="448" spans="1:21" x14ac:dyDescent="0.2">
      <c r="A448" t="s">
        <v>408</v>
      </c>
      <c r="B448" t="s">
        <v>21</v>
      </c>
      <c r="C448" t="s">
        <v>30</v>
      </c>
      <c r="D448" t="s">
        <v>34</v>
      </c>
      <c r="E448" t="str">
        <f>TRIM(RIGHT(Table1[[#This Row],[Location]],LEN(Table1[[#This Row],[Location]])-FIND(",",Table1[[#This Row],[Location]])))</f>
        <v>Illinois</v>
      </c>
      <c r="F448" t="s">
        <v>409</v>
      </c>
      <c r="G448" t="s">
        <v>35</v>
      </c>
      <c r="H448" t="s">
        <v>26</v>
      </c>
      <c r="I448">
        <v>122086</v>
      </c>
      <c r="J448">
        <v>299</v>
      </c>
      <c r="K448">
        <v>82898</v>
      </c>
      <c r="L448">
        <v>116235</v>
      </c>
      <c r="M448">
        <v>16</v>
      </c>
      <c r="N448">
        <v>7663.6952940000001</v>
      </c>
      <c r="O448" s="7">
        <f>IFERROR(Table1[[#This Row],[Clicks]]/Table1[[#This Row],[Impressions]],0)</f>
        <v>2.4490932621266974E-3</v>
      </c>
      <c r="P448" s="5">
        <f>IFERROR(Table1[[#This Row],[Total Conversions]]/Table1[[#This Row],[Clicks]],0)</f>
        <v>5.3511705685618728E-2</v>
      </c>
      <c r="Q448" s="10">
        <f>IFERROR(Table1[[#This Row],[Gross Cost]]/Table1[[#This Row],[Total Conversions]],0)</f>
        <v>478.98095587500001</v>
      </c>
      <c r="R448" s="10">
        <f>IFERROR(Table1[[#This Row],[Gross Cost]]/(Table1[[#This Row],[Impressions]]/1000),0)</f>
        <v>62.772924774339401</v>
      </c>
      <c r="S448" s="5">
        <f>IFERROR(Table1[[#This Row],[Viewable Impressions]]/Table1[[#This Row],[Measurable Impressions]],0)</f>
        <v>0.71319310018497006</v>
      </c>
      <c r="T448" s="10">
        <f>IFERROR(1000*Table1[[#This Row],[Gross Cost]]/Table1[[#This Row],[Viewable Impressions]],0)</f>
        <v>92.447288161354919</v>
      </c>
      <c r="U448" s="10"/>
    </row>
    <row r="449" spans="1:21" x14ac:dyDescent="0.2">
      <c r="A449" t="s">
        <v>456</v>
      </c>
      <c r="B449" t="s">
        <v>14</v>
      </c>
      <c r="C449" t="s">
        <v>22</v>
      </c>
      <c r="D449" t="s">
        <v>77</v>
      </c>
      <c r="E449" t="str">
        <f>TRIM(RIGHT(Table1[[#This Row],[Location]],LEN(Table1[[#This Row],[Location]])-FIND(",",Table1[[#This Row],[Location]])))</f>
        <v>New York</v>
      </c>
      <c r="F449" t="s">
        <v>457</v>
      </c>
      <c r="G449" t="s">
        <v>45</v>
      </c>
      <c r="H449" t="s">
        <v>51</v>
      </c>
      <c r="I449">
        <v>99205</v>
      </c>
      <c r="J449">
        <v>230</v>
      </c>
      <c r="K449">
        <v>49240</v>
      </c>
      <c r="L449">
        <v>72687</v>
      </c>
      <c r="M449">
        <v>21</v>
      </c>
      <c r="N449">
        <v>6185.0024860000003</v>
      </c>
      <c r="O449" s="7">
        <f>IFERROR(Table1[[#This Row],[Clicks]]/Table1[[#This Row],[Impressions]],0)</f>
        <v>2.3184315306688172E-3</v>
      </c>
      <c r="P449" s="5">
        <f>IFERROR(Table1[[#This Row],[Total Conversions]]/Table1[[#This Row],[Clicks]],0)</f>
        <v>9.1304347826086957E-2</v>
      </c>
      <c r="Q449" s="10">
        <f>IFERROR(Table1[[#This Row],[Gross Cost]]/Table1[[#This Row],[Total Conversions]],0)</f>
        <v>294.52392790476193</v>
      </c>
      <c r="R449" s="10">
        <f>IFERROR(Table1[[#This Row],[Gross Cost]]/(Table1[[#This Row],[Impressions]]/1000),0)</f>
        <v>62.34567296003226</v>
      </c>
      <c r="S449" s="5">
        <f>IFERROR(Table1[[#This Row],[Viewable Impressions]]/Table1[[#This Row],[Measurable Impressions]],0)</f>
        <v>0.677425124162505</v>
      </c>
      <c r="T449" s="10">
        <f>IFERROR(1000*Table1[[#This Row],[Gross Cost]]/Table1[[#This Row],[Viewable Impressions]],0)</f>
        <v>125.60931125101544</v>
      </c>
      <c r="U449" s="10"/>
    </row>
    <row r="450" spans="1:21" x14ac:dyDescent="0.2">
      <c r="A450" t="s">
        <v>115</v>
      </c>
      <c r="B450" t="s">
        <v>21</v>
      </c>
      <c r="C450" t="s">
        <v>41</v>
      </c>
      <c r="D450" t="s">
        <v>34</v>
      </c>
      <c r="E450" t="str">
        <f>TRIM(RIGHT(Table1[[#This Row],[Location]],LEN(Table1[[#This Row],[Location]])-FIND(",",Table1[[#This Row],[Location]])))</f>
        <v>Illinois</v>
      </c>
      <c r="F450" t="s">
        <v>114</v>
      </c>
      <c r="G450" t="s">
        <v>116</v>
      </c>
      <c r="H450" t="s">
        <v>26</v>
      </c>
      <c r="I450">
        <v>106151</v>
      </c>
      <c r="J450">
        <v>299</v>
      </c>
      <c r="K450">
        <v>75304</v>
      </c>
      <c r="L450">
        <v>99311</v>
      </c>
      <c r="M450">
        <v>9</v>
      </c>
      <c r="N450">
        <v>6616.8806599999998</v>
      </c>
      <c r="O450" s="7">
        <f>IFERROR(Table1[[#This Row],[Clicks]]/Table1[[#This Row],[Impressions]],0)</f>
        <v>2.816742188015186E-3</v>
      </c>
      <c r="P450" s="5">
        <f>IFERROR(Table1[[#This Row],[Total Conversions]]/Table1[[#This Row],[Clicks]],0)</f>
        <v>3.0100334448160536E-2</v>
      </c>
      <c r="Q450" s="10">
        <f>IFERROR(Table1[[#This Row],[Gross Cost]]/Table1[[#This Row],[Total Conversions]],0)</f>
        <v>735.20896222222223</v>
      </c>
      <c r="R450" s="10">
        <f>IFERROR(Table1[[#This Row],[Gross Cost]]/(Table1[[#This Row],[Impressions]]/1000),0)</f>
        <v>62.334605043758422</v>
      </c>
      <c r="S450" s="5">
        <f>IFERROR(Table1[[#This Row],[Viewable Impressions]]/Table1[[#This Row],[Measurable Impressions]],0)</f>
        <v>0.75826444200541732</v>
      </c>
      <c r="T450" s="10">
        <f>IFERROR(1000*Table1[[#This Row],[Gross Cost]]/Table1[[#This Row],[Viewable Impressions]],0)</f>
        <v>87.868913470731968</v>
      </c>
      <c r="U450" s="10"/>
    </row>
    <row r="451" spans="1:21" x14ac:dyDescent="0.2">
      <c r="A451" t="s">
        <v>472</v>
      </c>
      <c r="B451" t="s">
        <v>21</v>
      </c>
      <c r="C451" t="s">
        <v>15</v>
      </c>
      <c r="D451" t="s">
        <v>94</v>
      </c>
      <c r="E451" t="str">
        <f>TRIM(RIGHT(Table1[[#This Row],[Location]],LEN(Table1[[#This Row],[Location]])-FIND(",",Table1[[#This Row],[Location]])))</f>
        <v>Florida</v>
      </c>
      <c r="F451" t="s">
        <v>473</v>
      </c>
      <c r="G451" t="s">
        <v>18</v>
      </c>
      <c r="H451" t="s">
        <v>26</v>
      </c>
      <c r="I451">
        <v>102905</v>
      </c>
      <c r="J451">
        <v>421</v>
      </c>
      <c r="K451">
        <v>45324</v>
      </c>
      <c r="L451">
        <v>99065</v>
      </c>
      <c r="M451">
        <v>1</v>
      </c>
      <c r="N451">
        <v>6407.5818280000003</v>
      </c>
      <c r="O451" s="7">
        <f>IFERROR(Table1[[#This Row],[Clicks]]/Table1[[#This Row],[Impressions]],0)</f>
        <v>4.0911520334288905E-3</v>
      </c>
      <c r="P451" s="5">
        <f>IFERROR(Table1[[#This Row],[Total Conversions]]/Table1[[#This Row],[Clicks]],0)</f>
        <v>2.3752969121140144E-3</v>
      </c>
      <c r="Q451" s="10">
        <f>IFERROR(Table1[[#This Row],[Gross Cost]]/Table1[[#This Row],[Total Conversions]],0)</f>
        <v>6407.5818280000003</v>
      </c>
      <c r="R451" s="10">
        <f>IFERROR(Table1[[#This Row],[Gross Cost]]/(Table1[[#This Row],[Impressions]]/1000),0)</f>
        <v>62.266963004713084</v>
      </c>
      <c r="S451" s="5">
        <f>IFERROR(Table1[[#This Row],[Viewable Impressions]]/Table1[[#This Row],[Measurable Impressions]],0)</f>
        <v>0.45751779134911424</v>
      </c>
      <c r="T451" s="10">
        <f>IFERROR(1000*Table1[[#This Row],[Gross Cost]]/Table1[[#This Row],[Viewable Impressions]],0)</f>
        <v>141.37282296355133</v>
      </c>
      <c r="U451" s="10"/>
    </row>
    <row r="452" spans="1:21" x14ac:dyDescent="0.2">
      <c r="A452" t="s">
        <v>688</v>
      </c>
      <c r="B452" t="s">
        <v>21</v>
      </c>
      <c r="C452" t="s">
        <v>22</v>
      </c>
      <c r="D452" t="s">
        <v>54</v>
      </c>
      <c r="E452" t="str">
        <f>TRIM(RIGHT(Table1[[#This Row],[Location]],LEN(Table1[[#This Row],[Location]])-FIND(",",Table1[[#This Row],[Location]])))</f>
        <v>Florida</v>
      </c>
      <c r="F452" t="s">
        <v>685</v>
      </c>
      <c r="G452" t="s">
        <v>18</v>
      </c>
      <c r="H452" t="s">
        <v>26</v>
      </c>
      <c r="I452">
        <v>29092</v>
      </c>
      <c r="J452">
        <v>75</v>
      </c>
      <c r="K452">
        <v>16986</v>
      </c>
      <c r="L452">
        <v>26606</v>
      </c>
      <c r="M452">
        <v>15</v>
      </c>
      <c r="N452">
        <v>1801.0581110000001</v>
      </c>
      <c r="O452" s="7">
        <f>IFERROR(Table1[[#This Row],[Clicks]]/Table1[[#This Row],[Impressions]],0)</f>
        <v>2.5780283239378522E-3</v>
      </c>
      <c r="P452" s="5">
        <f>IFERROR(Table1[[#This Row],[Total Conversions]]/Table1[[#This Row],[Clicks]],0)</f>
        <v>0.2</v>
      </c>
      <c r="Q452" s="10">
        <f>IFERROR(Table1[[#This Row],[Gross Cost]]/Table1[[#This Row],[Total Conversions]],0)</f>
        <v>120.07054073333333</v>
      </c>
      <c r="R452" s="10">
        <f>IFERROR(Table1[[#This Row],[Gross Cost]]/(Table1[[#This Row],[Impressions]]/1000),0)</f>
        <v>61.909050976213393</v>
      </c>
      <c r="S452" s="5">
        <f>IFERROR(Table1[[#This Row],[Viewable Impressions]]/Table1[[#This Row],[Measurable Impressions]],0)</f>
        <v>0.63842742238592798</v>
      </c>
      <c r="T452" s="10">
        <f>IFERROR(1000*Table1[[#This Row],[Gross Cost]]/Table1[[#This Row],[Viewable Impressions]],0)</f>
        <v>106.03191516543036</v>
      </c>
      <c r="U452" s="10"/>
    </row>
    <row r="453" spans="1:21" x14ac:dyDescent="0.2">
      <c r="A453" t="s">
        <v>242</v>
      </c>
      <c r="B453" t="s">
        <v>14</v>
      </c>
      <c r="C453" t="s">
        <v>15</v>
      </c>
      <c r="D453" t="s">
        <v>77</v>
      </c>
      <c r="E453" t="str">
        <f>TRIM(RIGHT(Table1[[#This Row],[Location]],LEN(Table1[[#This Row],[Location]])-FIND(",",Table1[[#This Row],[Location]])))</f>
        <v>New York</v>
      </c>
      <c r="F453" t="s">
        <v>241</v>
      </c>
      <c r="G453" t="s">
        <v>18</v>
      </c>
      <c r="H453" t="s">
        <v>26</v>
      </c>
      <c r="I453">
        <v>106392</v>
      </c>
      <c r="J453">
        <v>299</v>
      </c>
      <c r="K453">
        <v>39599</v>
      </c>
      <c r="L453">
        <v>94941</v>
      </c>
      <c r="M453">
        <v>3</v>
      </c>
      <c r="N453">
        <v>6542.6124280000004</v>
      </c>
      <c r="O453" s="7">
        <f>IFERROR(Table1[[#This Row],[Clicks]]/Table1[[#This Row],[Impressions]],0)</f>
        <v>2.8103616813294234E-3</v>
      </c>
      <c r="P453" s="5">
        <f>IFERROR(Table1[[#This Row],[Total Conversions]]/Table1[[#This Row],[Clicks]],0)</f>
        <v>1.0033444816053512E-2</v>
      </c>
      <c r="Q453" s="10">
        <f>IFERROR(Table1[[#This Row],[Gross Cost]]/Table1[[#This Row],[Total Conversions]],0)</f>
        <v>2180.8708093333335</v>
      </c>
      <c r="R453" s="10">
        <f>IFERROR(Table1[[#This Row],[Gross Cost]]/(Table1[[#This Row],[Impressions]]/1000),0)</f>
        <v>61.495342018196865</v>
      </c>
      <c r="S453" s="5">
        <f>IFERROR(Table1[[#This Row],[Viewable Impressions]]/Table1[[#This Row],[Measurable Impressions]],0)</f>
        <v>0.41709061417090615</v>
      </c>
      <c r="T453" s="10">
        <f>IFERROR(1000*Table1[[#This Row],[Gross Cost]]/Table1[[#This Row],[Viewable Impressions]],0)</f>
        <v>165.22165781964191</v>
      </c>
      <c r="U453" s="10"/>
    </row>
    <row r="454" spans="1:21" x14ac:dyDescent="0.2">
      <c r="A454" t="s">
        <v>151</v>
      </c>
      <c r="B454" t="s">
        <v>14</v>
      </c>
      <c r="C454" t="s">
        <v>41</v>
      </c>
      <c r="D454" t="s">
        <v>94</v>
      </c>
      <c r="E454" t="str">
        <f>TRIM(RIGHT(Table1[[#This Row],[Location]],LEN(Table1[[#This Row],[Location]])-FIND(",",Table1[[#This Row],[Location]])))</f>
        <v>Florida</v>
      </c>
      <c r="F454" t="s">
        <v>152</v>
      </c>
      <c r="G454" t="s">
        <v>135</v>
      </c>
      <c r="H454" t="s">
        <v>26</v>
      </c>
      <c r="I454">
        <v>35034</v>
      </c>
      <c r="J454">
        <v>145</v>
      </c>
      <c r="K454">
        <v>13904</v>
      </c>
      <c r="L454">
        <v>34123</v>
      </c>
      <c r="M454">
        <v>3</v>
      </c>
      <c r="N454">
        <v>2141.4693459999999</v>
      </c>
      <c r="O454" s="7">
        <f>IFERROR(Table1[[#This Row],[Clicks]]/Table1[[#This Row],[Impressions]],0)</f>
        <v>4.1388365587714795E-3</v>
      </c>
      <c r="P454" s="5">
        <f>IFERROR(Table1[[#This Row],[Total Conversions]]/Table1[[#This Row],[Clicks]],0)</f>
        <v>2.0689655172413793E-2</v>
      </c>
      <c r="Q454" s="10">
        <f>IFERROR(Table1[[#This Row],[Gross Cost]]/Table1[[#This Row],[Total Conversions]],0)</f>
        <v>713.82311533333325</v>
      </c>
      <c r="R454" s="10">
        <f>IFERROR(Table1[[#This Row],[Gross Cost]]/(Table1[[#This Row],[Impressions]]/1000),0)</f>
        <v>61.125459439401723</v>
      </c>
      <c r="S454" s="5">
        <f>IFERROR(Table1[[#This Row],[Viewable Impressions]]/Table1[[#This Row],[Measurable Impressions]],0)</f>
        <v>0.40746710429915306</v>
      </c>
      <c r="T454" s="10">
        <f>IFERROR(1000*Table1[[#This Row],[Gross Cost]]/Table1[[#This Row],[Viewable Impressions]],0)</f>
        <v>154.01822108745685</v>
      </c>
      <c r="U454" s="10"/>
    </row>
    <row r="455" spans="1:21" x14ac:dyDescent="0.2">
      <c r="A455" t="s">
        <v>360</v>
      </c>
      <c r="B455" t="s">
        <v>60</v>
      </c>
      <c r="C455" t="s">
        <v>41</v>
      </c>
      <c r="D455" t="s">
        <v>54</v>
      </c>
      <c r="E455" t="str">
        <f>TRIM(RIGHT(Table1[[#This Row],[Location]],LEN(Table1[[#This Row],[Location]])-FIND(",",Table1[[#This Row],[Location]])))</f>
        <v>Florida</v>
      </c>
      <c r="F455" t="s">
        <v>361</v>
      </c>
      <c r="G455" t="s">
        <v>45</v>
      </c>
      <c r="H455" t="s">
        <v>26</v>
      </c>
      <c r="I455">
        <v>115412</v>
      </c>
      <c r="J455">
        <v>490</v>
      </c>
      <c r="K455">
        <v>71564</v>
      </c>
      <c r="L455">
        <v>81785</v>
      </c>
      <c r="M455">
        <v>21</v>
      </c>
      <c r="N455">
        <v>6861.5363799999996</v>
      </c>
      <c r="O455" s="7">
        <f>IFERROR(Table1[[#This Row],[Clicks]]/Table1[[#This Row],[Impressions]],0)</f>
        <v>4.2456590302568193E-3</v>
      </c>
      <c r="P455" s="5">
        <f>IFERROR(Table1[[#This Row],[Total Conversions]]/Table1[[#This Row],[Clicks]],0)</f>
        <v>4.2857142857142858E-2</v>
      </c>
      <c r="Q455" s="10">
        <f>IFERROR(Table1[[#This Row],[Gross Cost]]/Table1[[#This Row],[Total Conversions]],0)</f>
        <v>326.73982761904762</v>
      </c>
      <c r="R455" s="10">
        <f>IFERROR(Table1[[#This Row],[Gross Cost]]/(Table1[[#This Row],[Impressions]]/1000),0)</f>
        <v>59.452538557515673</v>
      </c>
      <c r="S455" s="5">
        <f>IFERROR(Table1[[#This Row],[Viewable Impressions]]/Table1[[#This Row],[Measurable Impressions]],0)</f>
        <v>0.8750259827596748</v>
      </c>
      <c r="T455" s="10">
        <f>IFERROR(1000*Table1[[#This Row],[Gross Cost]]/Table1[[#This Row],[Viewable Impressions]],0)</f>
        <v>95.879721368285729</v>
      </c>
      <c r="U455" s="10"/>
    </row>
    <row r="456" spans="1:21" x14ac:dyDescent="0.2">
      <c r="A456" t="s">
        <v>358</v>
      </c>
      <c r="B456" t="s">
        <v>14</v>
      </c>
      <c r="C456" t="s">
        <v>41</v>
      </c>
      <c r="D456" t="s">
        <v>77</v>
      </c>
      <c r="E456" t="str">
        <f>TRIM(RIGHT(Table1[[#This Row],[Location]],LEN(Table1[[#This Row],[Location]])-FIND(",",Table1[[#This Row],[Location]])))</f>
        <v>New York</v>
      </c>
      <c r="F456" t="s">
        <v>357</v>
      </c>
      <c r="G456" t="s">
        <v>25</v>
      </c>
      <c r="H456" t="s">
        <v>51</v>
      </c>
      <c r="I456">
        <v>95644</v>
      </c>
      <c r="J456">
        <v>240</v>
      </c>
      <c r="K456">
        <v>13294</v>
      </c>
      <c r="L456">
        <v>86775</v>
      </c>
      <c r="M456">
        <v>9</v>
      </c>
      <c r="N456">
        <v>5587.7636750000001</v>
      </c>
      <c r="O456" s="7">
        <f>IFERROR(Table1[[#This Row],[Clicks]]/Table1[[#This Row],[Impressions]],0)</f>
        <v>2.5093053406381998E-3</v>
      </c>
      <c r="P456" s="5">
        <f>IFERROR(Table1[[#This Row],[Total Conversions]]/Table1[[#This Row],[Clicks]],0)</f>
        <v>3.7499999999999999E-2</v>
      </c>
      <c r="Q456" s="10">
        <f>IFERROR(Table1[[#This Row],[Gross Cost]]/Table1[[#This Row],[Total Conversions]],0)</f>
        <v>620.8626305555556</v>
      </c>
      <c r="R456" s="10">
        <f>IFERROR(Table1[[#This Row],[Gross Cost]]/(Table1[[#This Row],[Impressions]]/1000),0)</f>
        <v>58.422521799590143</v>
      </c>
      <c r="S456" s="5">
        <f>IFERROR(Table1[[#This Row],[Viewable Impressions]]/Table1[[#This Row],[Measurable Impressions]],0)</f>
        <v>0.15320080668395275</v>
      </c>
      <c r="T456" s="10">
        <f>IFERROR(1000*Table1[[#This Row],[Gross Cost]]/Table1[[#This Row],[Viewable Impressions]],0)</f>
        <v>420.32222619226718</v>
      </c>
      <c r="U456" s="10"/>
    </row>
    <row r="457" spans="1:21" x14ac:dyDescent="0.2">
      <c r="A457" t="s">
        <v>356</v>
      </c>
      <c r="B457" t="s">
        <v>21</v>
      </c>
      <c r="C457" t="s">
        <v>15</v>
      </c>
      <c r="D457" t="s">
        <v>34</v>
      </c>
      <c r="E457" t="str">
        <f>TRIM(RIGHT(Table1[[#This Row],[Location]],LEN(Table1[[#This Row],[Location]])-FIND(",",Table1[[#This Row],[Location]])))</f>
        <v>Illinois</v>
      </c>
      <c r="F457" t="s">
        <v>357</v>
      </c>
      <c r="G457" t="s">
        <v>47</v>
      </c>
      <c r="H457" t="s">
        <v>26</v>
      </c>
      <c r="I457">
        <v>111624</v>
      </c>
      <c r="J457">
        <v>590</v>
      </c>
      <c r="K457">
        <v>40343</v>
      </c>
      <c r="L457">
        <v>101306</v>
      </c>
      <c r="M457">
        <v>21</v>
      </c>
      <c r="N457">
        <v>6510.4466560000001</v>
      </c>
      <c r="O457" s="7">
        <f>IFERROR(Table1[[#This Row],[Clicks]]/Table1[[#This Row],[Impressions]],0)</f>
        <v>5.285601662724862E-3</v>
      </c>
      <c r="P457" s="5">
        <f>IFERROR(Table1[[#This Row],[Total Conversions]]/Table1[[#This Row],[Clicks]],0)</f>
        <v>3.5593220338983052E-2</v>
      </c>
      <c r="Q457" s="10">
        <f>IFERROR(Table1[[#This Row],[Gross Cost]]/Table1[[#This Row],[Total Conversions]],0)</f>
        <v>310.02126933333335</v>
      </c>
      <c r="R457" s="10">
        <f>IFERROR(Table1[[#This Row],[Gross Cost]]/(Table1[[#This Row],[Impressions]]/1000),0)</f>
        <v>58.324792661076472</v>
      </c>
      <c r="S457" s="5">
        <f>IFERROR(Table1[[#This Row],[Viewable Impressions]]/Table1[[#This Row],[Measurable Impressions]],0)</f>
        <v>0.39822912759362722</v>
      </c>
      <c r="T457" s="10">
        <f>IFERROR(1000*Table1[[#This Row],[Gross Cost]]/Table1[[#This Row],[Viewable Impressions]],0)</f>
        <v>161.37735557593635</v>
      </c>
      <c r="U457" s="10"/>
    </row>
    <row r="458" spans="1:21" x14ac:dyDescent="0.2">
      <c r="A458" t="s">
        <v>521</v>
      </c>
      <c r="B458" t="s">
        <v>60</v>
      </c>
      <c r="C458" t="s">
        <v>41</v>
      </c>
      <c r="D458" t="s">
        <v>34</v>
      </c>
      <c r="E458" t="str">
        <f>TRIM(RIGHT(Table1[[#This Row],[Location]],LEN(Table1[[#This Row],[Location]])-FIND(",",Table1[[#This Row],[Location]])))</f>
        <v>Illinois</v>
      </c>
      <c r="F458" t="s">
        <v>517</v>
      </c>
      <c r="G458" t="s">
        <v>18</v>
      </c>
      <c r="H458" t="s">
        <v>26</v>
      </c>
      <c r="I458">
        <v>100058</v>
      </c>
      <c r="J458">
        <v>435</v>
      </c>
      <c r="K458">
        <v>73422</v>
      </c>
      <c r="L458">
        <v>91976</v>
      </c>
      <c r="M458">
        <v>8</v>
      </c>
      <c r="N458">
        <v>5831.2257929999996</v>
      </c>
      <c r="O458" s="7">
        <f>IFERROR(Table1[[#This Row],[Clicks]]/Table1[[#This Row],[Impressions]],0)</f>
        <v>4.3474784624917551E-3</v>
      </c>
      <c r="P458" s="5">
        <f>IFERROR(Table1[[#This Row],[Total Conversions]]/Table1[[#This Row],[Clicks]],0)</f>
        <v>1.8390804597701149E-2</v>
      </c>
      <c r="Q458" s="10">
        <f>IFERROR(Table1[[#This Row],[Gross Cost]]/Table1[[#This Row],[Total Conversions]],0)</f>
        <v>728.90322412499995</v>
      </c>
      <c r="R458" s="10">
        <f>IFERROR(Table1[[#This Row],[Gross Cost]]/(Table1[[#This Row],[Impressions]]/1000),0)</f>
        <v>58.278456425273333</v>
      </c>
      <c r="S458" s="5">
        <f>IFERROR(Table1[[#This Row],[Viewable Impressions]]/Table1[[#This Row],[Measurable Impressions]],0)</f>
        <v>0.79827346264242849</v>
      </c>
      <c r="T458" s="10">
        <f>IFERROR(1000*Table1[[#This Row],[Gross Cost]]/Table1[[#This Row],[Viewable Impressions]],0)</f>
        <v>79.420688526599648</v>
      </c>
      <c r="U458" s="10"/>
    </row>
    <row r="459" spans="1:21" x14ac:dyDescent="0.2">
      <c r="A459" t="s">
        <v>197</v>
      </c>
      <c r="B459" t="s">
        <v>21</v>
      </c>
      <c r="C459" t="s">
        <v>15</v>
      </c>
      <c r="D459" t="s">
        <v>94</v>
      </c>
      <c r="E459" t="str">
        <f>TRIM(RIGHT(Table1[[#This Row],[Location]],LEN(Table1[[#This Row],[Location]])-FIND(",",Table1[[#This Row],[Location]])))</f>
        <v>Florida</v>
      </c>
      <c r="F459" t="s">
        <v>196</v>
      </c>
      <c r="G459" t="s">
        <v>45</v>
      </c>
      <c r="H459" t="s">
        <v>26</v>
      </c>
      <c r="I459">
        <v>115544</v>
      </c>
      <c r="J459">
        <v>412</v>
      </c>
      <c r="K459">
        <v>79182</v>
      </c>
      <c r="L459">
        <v>109463</v>
      </c>
      <c r="M459">
        <v>56</v>
      </c>
      <c r="N459">
        <v>6721.0944529999997</v>
      </c>
      <c r="O459" s="7">
        <f>IFERROR(Table1[[#This Row],[Clicks]]/Table1[[#This Row],[Impressions]],0)</f>
        <v>3.5657411895035659E-3</v>
      </c>
      <c r="P459" s="5">
        <f>IFERROR(Table1[[#This Row],[Total Conversions]]/Table1[[#This Row],[Clicks]],0)</f>
        <v>0.13592233009708737</v>
      </c>
      <c r="Q459" s="10">
        <f>IFERROR(Table1[[#This Row],[Gross Cost]]/Table1[[#This Row],[Total Conversions]],0)</f>
        <v>120.01954380357142</v>
      </c>
      <c r="R459" s="10">
        <f>IFERROR(Table1[[#This Row],[Gross Cost]]/(Table1[[#This Row],[Impressions]]/1000),0)</f>
        <v>58.169134295160283</v>
      </c>
      <c r="S459" s="5">
        <f>IFERROR(Table1[[#This Row],[Viewable Impressions]]/Table1[[#This Row],[Measurable Impressions]],0)</f>
        <v>0.72336771329124905</v>
      </c>
      <c r="T459" s="10">
        <f>IFERROR(1000*Table1[[#This Row],[Gross Cost]]/Table1[[#This Row],[Viewable Impressions]],0)</f>
        <v>84.881594971079281</v>
      </c>
      <c r="U459" s="10"/>
    </row>
    <row r="460" spans="1:21" x14ac:dyDescent="0.2">
      <c r="A460" t="s">
        <v>108</v>
      </c>
      <c r="B460" t="s">
        <v>14</v>
      </c>
      <c r="C460" t="s">
        <v>41</v>
      </c>
      <c r="D460" t="s">
        <v>77</v>
      </c>
      <c r="E460" t="str">
        <f>TRIM(RIGHT(Table1[[#This Row],[Location]],LEN(Table1[[#This Row],[Location]])-FIND(",",Table1[[#This Row],[Location]])))</f>
        <v>New York</v>
      </c>
      <c r="F460" t="s">
        <v>104</v>
      </c>
      <c r="G460" t="s">
        <v>18</v>
      </c>
      <c r="H460" t="s">
        <v>51</v>
      </c>
      <c r="I460">
        <v>32845</v>
      </c>
      <c r="J460">
        <v>164</v>
      </c>
      <c r="K460">
        <v>16163</v>
      </c>
      <c r="L460">
        <v>30368</v>
      </c>
      <c r="M460">
        <v>5</v>
      </c>
      <c r="N460">
        <v>1910.436686</v>
      </c>
      <c r="O460" s="7">
        <f>IFERROR(Table1[[#This Row],[Clicks]]/Table1[[#This Row],[Impressions]],0)</f>
        <v>4.9931496422590954E-3</v>
      </c>
      <c r="P460" s="5">
        <f>IFERROR(Table1[[#This Row],[Total Conversions]]/Table1[[#This Row],[Clicks]],0)</f>
        <v>3.048780487804878E-2</v>
      </c>
      <c r="Q460" s="10">
        <f>IFERROR(Table1[[#This Row],[Gross Cost]]/Table1[[#This Row],[Total Conversions]],0)</f>
        <v>382.08733719999998</v>
      </c>
      <c r="R460" s="10">
        <f>IFERROR(Table1[[#This Row],[Gross Cost]]/(Table1[[#This Row],[Impressions]]/1000),0)</f>
        <v>58.165221068655811</v>
      </c>
      <c r="S460" s="5">
        <f>IFERROR(Table1[[#This Row],[Viewable Impressions]]/Table1[[#This Row],[Measurable Impressions]],0)</f>
        <v>0.53223788198103261</v>
      </c>
      <c r="T460" s="10">
        <f>IFERROR(1000*Table1[[#This Row],[Gross Cost]]/Table1[[#This Row],[Viewable Impressions]],0)</f>
        <v>118.1981492297222</v>
      </c>
      <c r="U460" s="10"/>
    </row>
    <row r="461" spans="1:21" x14ac:dyDescent="0.2">
      <c r="A461" t="s">
        <v>740</v>
      </c>
      <c r="B461" t="s">
        <v>14</v>
      </c>
      <c r="C461" t="s">
        <v>22</v>
      </c>
      <c r="D461" t="s">
        <v>16</v>
      </c>
      <c r="E461" t="str">
        <f>TRIM(RIGHT(Table1[[#This Row],[Location]],LEN(Table1[[#This Row],[Location]])-FIND(",",Table1[[#This Row],[Location]])))</f>
        <v>California</v>
      </c>
      <c r="F461" t="s">
        <v>739</v>
      </c>
      <c r="G461" t="s">
        <v>45</v>
      </c>
      <c r="H461" t="s">
        <v>51</v>
      </c>
      <c r="I461">
        <v>65243</v>
      </c>
      <c r="J461">
        <v>120</v>
      </c>
      <c r="K461">
        <v>39543</v>
      </c>
      <c r="L461">
        <v>54290</v>
      </c>
      <c r="M461">
        <v>4</v>
      </c>
      <c r="N461">
        <v>3754.6852469999999</v>
      </c>
      <c r="O461" s="7">
        <f>IFERROR(Table1[[#This Row],[Clicks]]/Table1[[#This Row],[Impressions]],0)</f>
        <v>1.8392777769262604E-3</v>
      </c>
      <c r="P461" s="5">
        <f>IFERROR(Table1[[#This Row],[Total Conversions]]/Table1[[#This Row],[Clicks]],0)</f>
        <v>3.3333333333333333E-2</v>
      </c>
      <c r="Q461" s="10">
        <f>IFERROR(Table1[[#This Row],[Gross Cost]]/Table1[[#This Row],[Total Conversions]],0)</f>
        <v>938.67131174999997</v>
      </c>
      <c r="R461" s="10">
        <f>IFERROR(Table1[[#This Row],[Gross Cost]]/(Table1[[#This Row],[Impressions]]/1000),0)</f>
        <v>57.549242784666554</v>
      </c>
      <c r="S461" s="5">
        <f>IFERROR(Table1[[#This Row],[Viewable Impressions]]/Table1[[#This Row],[Measurable Impressions]],0)</f>
        <v>0.72836618161724076</v>
      </c>
      <c r="T461" s="10">
        <f>IFERROR(1000*Table1[[#This Row],[Gross Cost]]/Table1[[#This Row],[Viewable Impressions]],0)</f>
        <v>94.951957287004021</v>
      </c>
      <c r="U461" s="10"/>
    </row>
    <row r="462" spans="1:21" x14ac:dyDescent="0.2">
      <c r="A462" t="s">
        <v>122</v>
      </c>
      <c r="B462" t="s">
        <v>14</v>
      </c>
      <c r="C462" t="s">
        <v>22</v>
      </c>
      <c r="D462" t="s">
        <v>54</v>
      </c>
      <c r="E462" t="str">
        <f>TRIM(RIGHT(Table1[[#This Row],[Location]],LEN(Table1[[#This Row],[Location]])-FIND(",",Table1[[#This Row],[Location]])))</f>
        <v>Florida</v>
      </c>
      <c r="F462" t="s">
        <v>114</v>
      </c>
      <c r="G462" t="s">
        <v>18</v>
      </c>
      <c r="H462" t="s">
        <v>51</v>
      </c>
      <c r="I462">
        <v>88293</v>
      </c>
      <c r="J462">
        <v>255</v>
      </c>
      <c r="K462">
        <v>24101</v>
      </c>
      <c r="L462">
        <v>75557</v>
      </c>
      <c r="M462">
        <v>19</v>
      </c>
      <c r="N462">
        <v>5054.481581</v>
      </c>
      <c r="O462" s="7">
        <f>IFERROR(Table1[[#This Row],[Clicks]]/Table1[[#This Row],[Impressions]],0)</f>
        <v>2.8881111752913596E-3</v>
      </c>
      <c r="P462" s="5">
        <f>IFERROR(Table1[[#This Row],[Total Conversions]]/Table1[[#This Row],[Clicks]],0)</f>
        <v>7.4509803921568626E-2</v>
      </c>
      <c r="Q462" s="10">
        <f>IFERROR(Table1[[#This Row],[Gross Cost]]/Table1[[#This Row],[Total Conversions]],0)</f>
        <v>266.02534636842103</v>
      </c>
      <c r="R462" s="10">
        <f>IFERROR(Table1[[#This Row],[Gross Cost]]/(Table1[[#This Row],[Impressions]]/1000),0)</f>
        <v>57.246685252511519</v>
      </c>
      <c r="S462" s="5">
        <f>IFERROR(Table1[[#This Row],[Viewable Impressions]]/Table1[[#This Row],[Measurable Impressions]],0)</f>
        <v>0.31897772542583747</v>
      </c>
      <c r="T462" s="10">
        <f>IFERROR(1000*Table1[[#This Row],[Gross Cost]]/Table1[[#This Row],[Viewable Impressions]],0)</f>
        <v>209.7208240736899</v>
      </c>
      <c r="U462" s="10"/>
    </row>
    <row r="463" spans="1:21" x14ac:dyDescent="0.2">
      <c r="A463" t="s">
        <v>733</v>
      </c>
      <c r="B463" t="s">
        <v>14</v>
      </c>
      <c r="C463" t="s">
        <v>15</v>
      </c>
      <c r="D463" t="s">
        <v>31</v>
      </c>
      <c r="E463" t="str">
        <f>TRIM(RIGHT(Table1[[#This Row],[Location]],LEN(Table1[[#This Row],[Location]])-FIND(",",Table1[[#This Row],[Location]])))</f>
        <v>Michigan</v>
      </c>
      <c r="F463" t="s">
        <v>734</v>
      </c>
      <c r="G463" t="s">
        <v>116</v>
      </c>
      <c r="H463" t="s">
        <v>19</v>
      </c>
      <c r="I463">
        <v>123430</v>
      </c>
      <c r="J463">
        <v>360</v>
      </c>
      <c r="K463">
        <v>45294</v>
      </c>
      <c r="L463">
        <v>77646</v>
      </c>
      <c r="M463">
        <v>15</v>
      </c>
      <c r="N463">
        <v>6808.5625840000002</v>
      </c>
      <c r="O463" s="7">
        <f>IFERROR(Table1[[#This Row],[Clicks]]/Table1[[#This Row],[Impressions]],0)</f>
        <v>2.9166329093413272E-3</v>
      </c>
      <c r="P463" s="5">
        <f>IFERROR(Table1[[#This Row],[Total Conversions]]/Table1[[#This Row],[Clicks]],0)</f>
        <v>4.1666666666666664E-2</v>
      </c>
      <c r="Q463" s="10">
        <f>IFERROR(Table1[[#This Row],[Gross Cost]]/Table1[[#This Row],[Total Conversions]],0)</f>
        <v>453.90417226666671</v>
      </c>
      <c r="R463" s="10">
        <f>IFERROR(Table1[[#This Row],[Gross Cost]]/(Table1[[#This Row],[Impressions]]/1000),0)</f>
        <v>55.161326938345617</v>
      </c>
      <c r="S463" s="5">
        <f>IFERROR(Table1[[#This Row],[Viewable Impressions]]/Table1[[#This Row],[Measurable Impressions]],0)</f>
        <v>0.58333977281508387</v>
      </c>
      <c r="T463" s="10">
        <f>IFERROR(1000*Table1[[#This Row],[Gross Cost]]/Table1[[#This Row],[Viewable Impressions]],0)</f>
        <v>150.31930463196008</v>
      </c>
      <c r="U463" s="10"/>
    </row>
    <row r="464" spans="1:21" x14ac:dyDescent="0.2">
      <c r="A464" t="s">
        <v>929</v>
      </c>
      <c r="B464" t="s">
        <v>21</v>
      </c>
      <c r="C464" t="s">
        <v>41</v>
      </c>
      <c r="D464" t="s">
        <v>203</v>
      </c>
      <c r="E464" t="str">
        <f>TRIM(RIGHT(Table1[[#This Row],[Location]],LEN(Table1[[#This Row],[Location]])-FIND(",",Table1[[#This Row],[Location]])))</f>
        <v>Michigan</v>
      </c>
      <c r="F464" t="s">
        <v>918</v>
      </c>
      <c r="G464" t="s">
        <v>18</v>
      </c>
      <c r="H464" t="s">
        <v>26</v>
      </c>
      <c r="I464">
        <v>96508</v>
      </c>
      <c r="J464">
        <v>351</v>
      </c>
      <c r="K464">
        <v>47065</v>
      </c>
      <c r="L464">
        <v>73640</v>
      </c>
      <c r="M464">
        <v>15</v>
      </c>
      <c r="N464">
        <v>5310.7695720000002</v>
      </c>
      <c r="O464" s="7">
        <f>IFERROR(Table1[[#This Row],[Clicks]]/Table1[[#This Row],[Impressions]],0)</f>
        <v>3.6370041861814566E-3</v>
      </c>
      <c r="P464" s="5">
        <f>IFERROR(Table1[[#This Row],[Total Conversions]]/Table1[[#This Row],[Clicks]],0)</f>
        <v>4.2735042735042736E-2</v>
      </c>
      <c r="Q464" s="10">
        <f>IFERROR(Table1[[#This Row],[Gross Cost]]/Table1[[#This Row],[Total Conversions]],0)</f>
        <v>354.05130480000003</v>
      </c>
      <c r="R464" s="10">
        <f>IFERROR(Table1[[#This Row],[Gross Cost]]/(Table1[[#This Row],[Impressions]]/1000),0)</f>
        <v>55.029319559000292</v>
      </c>
      <c r="S464" s="5">
        <f>IFERROR(Table1[[#This Row],[Viewable Impressions]]/Table1[[#This Row],[Measurable Impressions]],0)</f>
        <v>0.6391227593699077</v>
      </c>
      <c r="T464" s="10">
        <f>IFERROR(1000*Table1[[#This Row],[Gross Cost]]/Table1[[#This Row],[Viewable Impressions]],0)</f>
        <v>112.83904328056941</v>
      </c>
      <c r="U464" s="10"/>
    </row>
    <row r="465" spans="1:21" x14ac:dyDescent="0.2">
      <c r="A465" t="s">
        <v>995</v>
      </c>
      <c r="B465" t="s">
        <v>21</v>
      </c>
      <c r="C465" t="s">
        <v>22</v>
      </c>
      <c r="D465" t="s">
        <v>44</v>
      </c>
      <c r="E465" t="str">
        <f>TRIM(RIGHT(Table1[[#This Row],[Location]],LEN(Table1[[#This Row],[Location]])-FIND(",",Table1[[#This Row],[Location]])))</f>
        <v>Florida</v>
      </c>
      <c r="F465" t="s">
        <v>991</v>
      </c>
      <c r="G465" t="s">
        <v>45</v>
      </c>
      <c r="H465" t="s">
        <v>26</v>
      </c>
      <c r="I465">
        <v>120603</v>
      </c>
      <c r="J465">
        <v>298</v>
      </c>
      <c r="K465">
        <v>47405</v>
      </c>
      <c r="L465">
        <v>100881</v>
      </c>
      <c r="M465">
        <v>10</v>
      </c>
      <c r="N465">
        <v>6633.5326349999996</v>
      </c>
      <c r="O465" s="7">
        <f>IFERROR(Table1[[#This Row],[Clicks]]/Table1[[#This Row],[Impressions]],0)</f>
        <v>2.4709169755312886E-3</v>
      </c>
      <c r="P465" s="5">
        <f>IFERROR(Table1[[#This Row],[Total Conversions]]/Table1[[#This Row],[Clicks]],0)</f>
        <v>3.3557046979865772E-2</v>
      </c>
      <c r="Q465" s="10">
        <f>IFERROR(Table1[[#This Row],[Gross Cost]]/Table1[[#This Row],[Total Conversions]],0)</f>
        <v>663.35326349999991</v>
      </c>
      <c r="R465" s="10">
        <f>IFERROR(Table1[[#This Row],[Gross Cost]]/(Table1[[#This Row],[Impressions]]/1000),0)</f>
        <v>55.003048307256037</v>
      </c>
      <c r="S465" s="5">
        <f>IFERROR(Table1[[#This Row],[Viewable Impressions]]/Table1[[#This Row],[Measurable Impressions]],0)</f>
        <v>0.46991009208869855</v>
      </c>
      <c r="T465" s="10">
        <f>IFERROR(1000*Table1[[#This Row],[Gross Cost]]/Table1[[#This Row],[Viewable Impressions]],0)</f>
        <v>139.9331850015821</v>
      </c>
      <c r="U465" s="10"/>
    </row>
    <row r="466" spans="1:21" x14ac:dyDescent="0.2">
      <c r="A466" t="s">
        <v>585</v>
      </c>
      <c r="B466" t="s">
        <v>21</v>
      </c>
      <c r="C466" t="s">
        <v>22</v>
      </c>
      <c r="D466" t="s">
        <v>34</v>
      </c>
      <c r="E466" t="str">
        <f>TRIM(RIGHT(Table1[[#This Row],[Location]],LEN(Table1[[#This Row],[Location]])-FIND(",",Table1[[#This Row],[Location]])))</f>
        <v>Illinois</v>
      </c>
      <c r="F466" t="s">
        <v>586</v>
      </c>
      <c r="G466" t="s">
        <v>18</v>
      </c>
      <c r="H466" t="s">
        <v>26</v>
      </c>
      <c r="I466">
        <v>38735</v>
      </c>
      <c r="J466">
        <v>114</v>
      </c>
      <c r="K466">
        <v>28719</v>
      </c>
      <c r="L466">
        <v>36629</v>
      </c>
      <c r="M466">
        <v>4</v>
      </c>
      <c r="N466">
        <v>2127.8240660000001</v>
      </c>
      <c r="O466" s="7">
        <f>IFERROR(Table1[[#This Row],[Clicks]]/Table1[[#This Row],[Impressions]],0)</f>
        <v>2.9430747386084938E-3</v>
      </c>
      <c r="P466" s="5">
        <f>IFERROR(Table1[[#This Row],[Total Conversions]]/Table1[[#This Row],[Clicks]],0)</f>
        <v>3.5087719298245612E-2</v>
      </c>
      <c r="Q466" s="10">
        <f>IFERROR(Table1[[#This Row],[Gross Cost]]/Table1[[#This Row],[Total Conversions]],0)</f>
        <v>531.95601650000003</v>
      </c>
      <c r="R466" s="10">
        <f>IFERROR(Table1[[#This Row],[Gross Cost]]/(Table1[[#This Row],[Impressions]]/1000),0)</f>
        <v>54.93285313024397</v>
      </c>
      <c r="S466" s="5">
        <f>IFERROR(Table1[[#This Row],[Viewable Impressions]]/Table1[[#This Row],[Measurable Impressions]],0)</f>
        <v>0.78405088864014849</v>
      </c>
      <c r="T466" s="10">
        <f>IFERROR(1000*Table1[[#This Row],[Gross Cost]]/Table1[[#This Row],[Viewable Impressions]],0)</f>
        <v>74.091161461053659</v>
      </c>
      <c r="U466" s="10"/>
    </row>
    <row r="467" spans="1:21" x14ac:dyDescent="0.2">
      <c r="A467" t="s">
        <v>391</v>
      </c>
      <c r="B467" t="s">
        <v>60</v>
      </c>
      <c r="C467" t="s">
        <v>22</v>
      </c>
      <c r="D467" t="s">
        <v>54</v>
      </c>
      <c r="E467" t="str">
        <f>TRIM(RIGHT(Table1[[#This Row],[Location]],LEN(Table1[[#This Row],[Location]])-FIND(",",Table1[[#This Row],[Location]])))</f>
        <v>Florida</v>
      </c>
      <c r="F467" t="s">
        <v>389</v>
      </c>
      <c r="G467" t="s">
        <v>18</v>
      </c>
      <c r="H467" t="s">
        <v>26</v>
      </c>
      <c r="I467">
        <v>119280</v>
      </c>
      <c r="J467">
        <v>400</v>
      </c>
      <c r="K467">
        <v>55665</v>
      </c>
      <c r="L467">
        <v>112913</v>
      </c>
      <c r="M467">
        <v>23</v>
      </c>
      <c r="N467">
        <v>6492.6763430000001</v>
      </c>
      <c r="O467" s="7">
        <f>IFERROR(Table1[[#This Row],[Clicks]]/Table1[[#This Row],[Impressions]],0)</f>
        <v>3.3534540576794099E-3</v>
      </c>
      <c r="P467" s="5">
        <f>IFERROR(Table1[[#This Row],[Total Conversions]]/Table1[[#This Row],[Clicks]],0)</f>
        <v>5.7500000000000002E-2</v>
      </c>
      <c r="Q467" s="10">
        <f>IFERROR(Table1[[#This Row],[Gross Cost]]/Table1[[#This Row],[Total Conversions]],0)</f>
        <v>282.29027578260872</v>
      </c>
      <c r="R467" s="10">
        <f>IFERROR(Table1[[#This Row],[Gross Cost]]/(Table1[[#This Row],[Impressions]]/1000),0)</f>
        <v>54.432229569081152</v>
      </c>
      <c r="S467" s="5">
        <f>IFERROR(Table1[[#This Row],[Viewable Impressions]]/Table1[[#This Row],[Measurable Impressions]],0)</f>
        <v>0.49299017827885183</v>
      </c>
      <c r="T467" s="10">
        <f>IFERROR(1000*Table1[[#This Row],[Gross Cost]]/Table1[[#This Row],[Viewable Impressions]],0)</f>
        <v>116.63839653283033</v>
      </c>
      <c r="U467" s="10"/>
    </row>
    <row r="468" spans="1:21" x14ac:dyDescent="0.2">
      <c r="A468" t="s">
        <v>815</v>
      </c>
      <c r="B468" t="s">
        <v>14</v>
      </c>
      <c r="C468" t="s">
        <v>22</v>
      </c>
      <c r="D468" t="s">
        <v>34</v>
      </c>
      <c r="E468" t="str">
        <f>TRIM(RIGHT(Table1[[#This Row],[Location]],LEN(Table1[[#This Row],[Location]])-FIND(",",Table1[[#This Row],[Location]])))</f>
        <v>Illinois</v>
      </c>
      <c r="F468" t="s">
        <v>811</v>
      </c>
      <c r="G468" t="s">
        <v>35</v>
      </c>
      <c r="H468" t="s">
        <v>51</v>
      </c>
      <c r="I468">
        <v>35335</v>
      </c>
      <c r="J468">
        <v>120</v>
      </c>
      <c r="K468">
        <v>22566</v>
      </c>
      <c r="L468">
        <v>30685</v>
      </c>
      <c r="M468">
        <v>15</v>
      </c>
      <c r="N468">
        <v>1866.3474699999999</v>
      </c>
      <c r="O468" s="7">
        <f>IFERROR(Table1[[#This Row],[Clicks]]/Table1[[#This Row],[Impressions]],0)</f>
        <v>3.3960662232913543E-3</v>
      </c>
      <c r="P468" s="5">
        <f>IFERROR(Table1[[#This Row],[Total Conversions]]/Table1[[#This Row],[Clicks]],0)</f>
        <v>0.125</v>
      </c>
      <c r="Q468" s="10">
        <f>IFERROR(Table1[[#This Row],[Gross Cost]]/Table1[[#This Row],[Total Conversions]],0)</f>
        <v>124.42316466666666</v>
      </c>
      <c r="R468" s="10">
        <f>IFERROR(Table1[[#This Row],[Gross Cost]]/(Table1[[#This Row],[Impressions]]/1000),0)</f>
        <v>52.81866336493561</v>
      </c>
      <c r="S468" s="5">
        <f>IFERROR(Table1[[#This Row],[Viewable Impressions]]/Table1[[#This Row],[Measurable Impressions]],0)</f>
        <v>0.73540817989245555</v>
      </c>
      <c r="T468" s="10">
        <f>IFERROR(1000*Table1[[#This Row],[Gross Cost]]/Table1[[#This Row],[Viewable Impressions]],0)</f>
        <v>82.706171674200121</v>
      </c>
      <c r="U468" s="10"/>
    </row>
    <row r="469" spans="1:21" x14ac:dyDescent="0.2">
      <c r="A469" t="s">
        <v>965</v>
      </c>
      <c r="B469" t="s">
        <v>21</v>
      </c>
      <c r="C469" t="s">
        <v>15</v>
      </c>
      <c r="D469" t="s">
        <v>31</v>
      </c>
      <c r="E469" t="str">
        <f>TRIM(RIGHT(Table1[[#This Row],[Location]],LEN(Table1[[#This Row],[Location]])-FIND(",",Table1[[#This Row],[Location]])))</f>
        <v>Michigan</v>
      </c>
      <c r="F469" t="s">
        <v>960</v>
      </c>
      <c r="G469" t="s">
        <v>116</v>
      </c>
      <c r="H469" t="s">
        <v>26</v>
      </c>
      <c r="I469">
        <v>31359</v>
      </c>
      <c r="J469">
        <v>66</v>
      </c>
      <c r="K469">
        <v>18348</v>
      </c>
      <c r="L469">
        <v>25950</v>
      </c>
      <c r="M469">
        <v>24</v>
      </c>
      <c r="N469">
        <v>1623.614838</v>
      </c>
      <c r="O469" s="7">
        <f>IFERROR(Table1[[#This Row],[Clicks]]/Table1[[#This Row],[Impressions]],0)</f>
        <v>2.1046589495838514E-3</v>
      </c>
      <c r="P469" s="5">
        <f>IFERROR(Table1[[#This Row],[Total Conversions]]/Table1[[#This Row],[Clicks]],0)</f>
        <v>0.36363636363636365</v>
      </c>
      <c r="Q469" s="10">
        <f>IFERROR(Table1[[#This Row],[Gross Cost]]/Table1[[#This Row],[Total Conversions]],0)</f>
        <v>67.650618249999994</v>
      </c>
      <c r="R469" s="10">
        <f>IFERROR(Table1[[#This Row],[Gross Cost]]/(Table1[[#This Row],[Impressions]]/1000),0)</f>
        <v>51.775083325361138</v>
      </c>
      <c r="S469" s="5">
        <f>IFERROR(Table1[[#This Row],[Viewable Impressions]]/Table1[[#This Row],[Measurable Impressions]],0)</f>
        <v>0.70705202312138726</v>
      </c>
      <c r="T469" s="10">
        <f>IFERROR(1000*Table1[[#This Row],[Gross Cost]]/Table1[[#This Row],[Viewable Impressions]],0)</f>
        <v>88.490017331589272</v>
      </c>
      <c r="U469" s="10"/>
    </row>
    <row r="470" spans="1:21" x14ac:dyDescent="0.2">
      <c r="A470" t="s">
        <v>516</v>
      </c>
      <c r="B470" t="s">
        <v>14</v>
      </c>
      <c r="C470" t="s">
        <v>15</v>
      </c>
      <c r="D470" t="s">
        <v>54</v>
      </c>
      <c r="E470" t="str">
        <f>TRIM(RIGHT(Table1[[#This Row],[Location]],LEN(Table1[[#This Row],[Location]])-FIND(",",Table1[[#This Row],[Location]])))</f>
        <v>Florida</v>
      </c>
      <c r="F470" t="s">
        <v>517</v>
      </c>
      <c r="G470" t="s">
        <v>18</v>
      </c>
      <c r="H470" t="s">
        <v>51</v>
      </c>
      <c r="I470">
        <v>141165</v>
      </c>
      <c r="J470">
        <v>250</v>
      </c>
      <c r="K470">
        <v>102776</v>
      </c>
      <c r="L470">
        <v>128004</v>
      </c>
      <c r="M470">
        <v>28</v>
      </c>
      <c r="N470">
        <v>7222.2114080000001</v>
      </c>
      <c r="O470" s="7">
        <f>IFERROR(Table1[[#This Row],[Clicks]]/Table1[[#This Row],[Impressions]],0)</f>
        <v>1.7709772252328835E-3</v>
      </c>
      <c r="P470" s="5">
        <f>IFERROR(Table1[[#This Row],[Total Conversions]]/Table1[[#This Row],[Clicks]],0)</f>
        <v>0.112</v>
      </c>
      <c r="Q470" s="10">
        <f>IFERROR(Table1[[#This Row],[Gross Cost]]/Table1[[#This Row],[Total Conversions]],0)</f>
        <v>257.93612171428572</v>
      </c>
      <c r="R470" s="10">
        <f>IFERROR(Table1[[#This Row],[Gross Cost]]/(Table1[[#This Row],[Impressions]]/1000),0)</f>
        <v>51.161487677540471</v>
      </c>
      <c r="S470" s="5">
        <f>IFERROR(Table1[[#This Row],[Viewable Impressions]]/Table1[[#This Row],[Measurable Impressions]],0)</f>
        <v>0.80291240898721916</v>
      </c>
      <c r="T470" s="10">
        <f>IFERROR(1000*Table1[[#This Row],[Gross Cost]]/Table1[[#This Row],[Viewable Impressions]],0)</f>
        <v>70.271380555771771</v>
      </c>
      <c r="U470" s="10"/>
    </row>
    <row r="471" spans="1:21" x14ac:dyDescent="0.2">
      <c r="A471" t="s">
        <v>1007</v>
      </c>
      <c r="B471" t="s">
        <v>21</v>
      </c>
      <c r="C471" t="s">
        <v>15</v>
      </c>
      <c r="D471" t="s">
        <v>34</v>
      </c>
      <c r="E471" t="str">
        <f>TRIM(RIGHT(Table1[[#This Row],[Location]],LEN(Table1[[#This Row],[Location]])-FIND(",",Table1[[#This Row],[Location]])))</f>
        <v>Illinois</v>
      </c>
      <c r="F471" t="s">
        <v>991</v>
      </c>
      <c r="G471" t="s">
        <v>160</v>
      </c>
      <c r="H471" t="s">
        <v>26</v>
      </c>
      <c r="I471">
        <v>37227</v>
      </c>
      <c r="J471">
        <v>130</v>
      </c>
      <c r="K471">
        <v>13542</v>
      </c>
      <c r="L471">
        <v>32456</v>
      </c>
      <c r="M471">
        <v>4</v>
      </c>
      <c r="N471">
        <v>1901.094691</v>
      </c>
      <c r="O471" s="7">
        <f>IFERROR(Table1[[#This Row],[Clicks]]/Table1[[#This Row],[Impressions]],0)</f>
        <v>3.4920890751336396E-3</v>
      </c>
      <c r="P471" s="5">
        <f>IFERROR(Table1[[#This Row],[Total Conversions]]/Table1[[#This Row],[Clicks]],0)</f>
        <v>3.0769230769230771E-2</v>
      </c>
      <c r="Q471" s="10">
        <f>IFERROR(Table1[[#This Row],[Gross Cost]]/Table1[[#This Row],[Total Conversions]],0)</f>
        <v>475.27367275</v>
      </c>
      <c r="R471" s="10">
        <f>IFERROR(Table1[[#This Row],[Gross Cost]]/(Table1[[#This Row],[Impressions]]/1000),0)</f>
        <v>51.067630778735868</v>
      </c>
      <c r="S471" s="5">
        <f>IFERROR(Table1[[#This Row],[Viewable Impressions]]/Table1[[#This Row],[Measurable Impressions]],0)</f>
        <v>0.41724180428888341</v>
      </c>
      <c r="T471" s="10">
        <f>IFERROR(1000*Table1[[#This Row],[Gross Cost]]/Table1[[#This Row],[Viewable Impressions]],0)</f>
        <v>140.38507539506722</v>
      </c>
      <c r="U471" s="10"/>
    </row>
    <row r="472" spans="1:21" x14ac:dyDescent="0.2">
      <c r="A472" t="s">
        <v>623</v>
      </c>
      <c r="B472" t="s">
        <v>14</v>
      </c>
      <c r="C472" t="s">
        <v>41</v>
      </c>
      <c r="D472" t="s">
        <v>182</v>
      </c>
      <c r="E472" t="str">
        <f>TRIM(RIGHT(Table1[[#This Row],[Location]],LEN(Table1[[#This Row],[Location]])-FIND(",",Table1[[#This Row],[Location]])))</f>
        <v>Tennessee</v>
      </c>
      <c r="F472" t="s">
        <v>611</v>
      </c>
      <c r="G472" t="s">
        <v>160</v>
      </c>
      <c r="H472" t="s">
        <v>51</v>
      </c>
      <c r="I472">
        <v>117518</v>
      </c>
      <c r="J472">
        <v>299</v>
      </c>
      <c r="K472">
        <v>66458</v>
      </c>
      <c r="L472">
        <v>86571</v>
      </c>
      <c r="M472">
        <v>1</v>
      </c>
      <c r="N472">
        <v>5999.9937810000001</v>
      </c>
      <c r="O472" s="7">
        <f>IFERROR(Table1[[#This Row],[Clicks]]/Table1[[#This Row],[Impressions]],0)</f>
        <v>2.5442910873227933E-3</v>
      </c>
      <c r="P472" s="5">
        <f>IFERROR(Table1[[#This Row],[Total Conversions]]/Table1[[#This Row],[Clicks]],0)</f>
        <v>3.3444816053511705E-3</v>
      </c>
      <c r="Q472" s="10">
        <f>IFERROR(Table1[[#This Row],[Gross Cost]]/Table1[[#This Row],[Total Conversions]],0)</f>
        <v>5999.9937810000001</v>
      </c>
      <c r="R472" s="10">
        <f>IFERROR(Table1[[#This Row],[Gross Cost]]/(Table1[[#This Row],[Impressions]]/1000),0)</f>
        <v>51.055955521707311</v>
      </c>
      <c r="S472" s="5">
        <f>IFERROR(Table1[[#This Row],[Viewable Impressions]]/Table1[[#This Row],[Measurable Impressions]],0)</f>
        <v>0.76767046701551322</v>
      </c>
      <c r="T472" s="10">
        <f>IFERROR(1000*Table1[[#This Row],[Gross Cost]]/Table1[[#This Row],[Viewable Impressions]],0)</f>
        <v>90.282490911553168</v>
      </c>
      <c r="U472" s="10"/>
    </row>
    <row r="473" spans="1:21" x14ac:dyDescent="0.2">
      <c r="A473" t="s">
        <v>523</v>
      </c>
      <c r="B473" t="s">
        <v>14</v>
      </c>
      <c r="C473" t="s">
        <v>15</v>
      </c>
      <c r="D473" t="s">
        <v>16</v>
      </c>
      <c r="E473" t="str">
        <f>TRIM(RIGHT(Table1[[#This Row],[Location]],LEN(Table1[[#This Row],[Location]])-FIND(",",Table1[[#This Row],[Location]])))</f>
        <v>California</v>
      </c>
      <c r="F473" t="s">
        <v>517</v>
      </c>
      <c r="G473" t="s">
        <v>25</v>
      </c>
      <c r="H473" t="s">
        <v>26</v>
      </c>
      <c r="I473">
        <v>103665</v>
      </c>
      <c r="J473">
        <v>270</v>
      </c>
      <c r="K473">
        <v>77283</v>
      </c>
      <c r="L473">
        <v>94019</v>
      </c>
      <c r="M473">
        <v>4</v>
      </c>
      <c r="N473">
        <v>5284.6855649999998</v>
      </c>
      <c r="O473" s="7">
        <f>IFERROR(Table1[[#This Row],[Clicks]]/Table1[[#This Row],[Impressions]],0)</f>
        <v>2.6045434814064533E-3</v>
      </c>
      <c r="P473" s="5">
        <f>IFERROR(Table1[[#This Row],[Total Conversions]]/Table1[[#This Row],[Clicks]],0)</f>
        <v>1.4814814814814815E-2</v>
      </c>
      <c r="Q473" s="10">
        <f>IFERROR(Table1[[#This Row],[Gross Cost]]/Table1[[#This Row],[Total Conversions]],0)</f>
        <v>1321.1713912499999</v>
      </c>
      <c r="R473" s="10">
        <f>IFERROR(Table1[[#This Row],[Gross Cost]]/(Table1[[#This Row],[Impressions]]/1000),0)</f>
        <v>50.978493850383444</v>
      </c>
      <c r="S473" s="5">
        <f>IFERROR(Table1[[#This Row],[Viewable Impressions]]/Table1[[#This Row],[Measurable Impressions]],0)</f>
        <v>0.82199342686052823</v>
      </c>
      <c r="T473" s="10">
        <f>IFERROR(1000*Table1[[#This Row],[Gross Cost]]/Table1[[#This Row],[Viewable Impressions]],0)</f>
        <v>68.380957843251423</v>
      </c>
      <c r="U473" s="10"/>
    </row>
    <row r="474" spans="1:21" x14ac:dyDescent="0.2">
      <c r="A474" t="s">
        <v>118</v>
      </c>
      <c r="B474" t="s">
        <v>21</v>
      </c>
      <c r="C474" t="s">
        <v>41</v>
      </c>
      <c r="D474" t="s">
        <v>34</v>
      </c>
      <c r="E474" t="str">
        <f>TRIM(RIGHT(Table1[[#This Row],[Location]],LEN(Table1[[#This Row],[Location]])-FIND(",",Table1[[#This Row],[Location]])))</f>
        <v>Illinois</v>
      </c>
      <c r="F474" t="s">
        <v>114</v>
      </c>
      <c r="G474" t="s">
        <v>116</v>
      </c>
      <c r="H474" t="s">
        <v>26</v>
      </c>
      <c r="I474">
        <v>114384</v>
      </c>
      <c r="J474">
        <v>100</v>
      </c>
      <c r="K474">
        <v>61524</v>
      </c>
      <c r="L474">
        <v>105104</v>
      </c>
      <c r="M474">
        <v>12</v>
      </c>
      <c r="N474">
        <v>5803.3314540000001</v>
      </c>
      <c r="O474" s="7">
        <f>IFERROR(Table1[[#This Row],[Clicks]]/Table1[[#This Row],[Impressions]],0)</f>
        <v>8.7424814659392927E-4</v>
      </c>
      <c r="P474" s="5">
        <f>IFERROR(Table1[[#This Row],[Total Conversions]]/Table1[[#This Row],[Clicks]],0)</f>
        <v>0.12</v>
      </c>
      <c r="Q474" s="10">
        <f>IFERROR(Table1[[#This Row],[Gross Cost]]/Table1[[#This Row],[Total Conversions]],0)</f>
        <v>483.61095449999999</v>
      </c>
      <c r="R474" s="10">
        <f>IFERROR(Table1[[#This Row],[Gross Cost]]/(Table1[[#This Row],[Impressions]]/1000),0)</f>
        <v>50.735517677297523</v>
      </c>
      <c r="S474" s="5">
        <f>IFERROR(Table1[[#This Row],[Viewable Impressions]]/Table1[[#This Row],[Measurable Impressions]],0)</f>
        <v>0.58536306896026791</v>
      </c>
      <c r="T474" s="10">
        <f>IFERROR(1000*Table1[[#This Row],[Gross Cost]]/Table1[[#This Row],[Viewable Impressions]],0)</f>
        <v>94.326302808660031</v>
      </c>
      <c r="U474" s="10"/>
    </row>
    <row r="475" spans="1:21" x14ac:dyDescent="0.2">
      <c r="A475" t="s">
        <v>1001</v>
      </c>
      <c r="B475" t="s">
        <v>14</v>
      </c>
      <c r="C475" t="s">
        <v>15</v>
      </c>
      <c r="D475" t="s">
        <v>23</v>
      </c>
      <c r="E475" t="str">
        <f>TRIM(RIGHT(Table1[[#This Row],[Location]],LEN(Table1[[#This Row],[Location]])-FIND(",",Table1[[#This Row],[Location]])))</f>
        <v>Florida</v>
      </c>
      <c r="F475" t="s">
        <v>991</v>
      </c>
      <c r="G475" t="s">
        <v>18</v>
      </c>
      <c r="H475" t="s">
        <v>51</v>
      </c>
      <c r="I475">
        <v>84460</v>
      </c>
      <c r="J475">
        <v>209</v>
      </c>
      <c r="K475">
        <v>13169</v>
      </c>
      <c r="L475">
        <v>26688</v>
      </c>
      <c r="M475">
        <v>1</v>
      </c>
      <c r="N475">
        <v>4279.230955</v>
      </c>
      <c r="O475" s="7">
        <f>IFERROR(Table1[[#This Row],[Clicks]]/Table1[[#This Row],[Impressions]],0)</f>
        <v>2.4745441629173575E-3</v>
      </c>
      <c r="P475" s="5">
        <f>IFERROR(Table1[[#This Row],[Total Conversions]]/Table1[[#This Row],[Clicks]],0)</f>
        <v>4.7846889952153108E-3</v>
      </c>
      <c r="Q475" s="10">
        <f>IFERROR(Table1[[#This Row],[Gross Cost]]/Table1[[#This Row],[Total Conversions]],0)</f>
        <v>4279.230955</v>
      </c>
      <c r="R475" s="10">
        <f>IFERROR(Table1[[#This Row],[Gross Cost]]/(Table1[[#This Row],[Impressions]]/1000),0)</f>
        <v>50.665770246270426</v>
      </c>
      <c r="S475" s="5">
        <f>IFERROR(Table1[[#This Row],[Viewable Impressions]]/Table1[[#This Row],[Measurable Impressions]],0)</f>
        <v>0.49344274580335734</v>
      </c>
      <c r="T475" s="10">
        <f>IFERROR(1000*Table1[[#This Row],[Gross Cost]]/Table1[[#This Row],[Viewable Impressions]],0)</f>
        <v>324.94729706128027</v>
      </c>
      <c r="U475" s="10"/>
    </row>
    <row r="476" spans="1:21" x14ac:dyDescent="0.2">
      <c r="A476" t="s">
        <v>309</v>
      </c>
      <c r="B476" t="s">
        <v>14</v>
      </c>
      <c r="C476" t="s">
        <v>30</v>
      </c>
      <c r="D476" t="s">
        <v>83</v>
      </c>
      <c r="E476" t="str">
        <f>TRIM(RIGHT(Table1[[#This Row],[Location]],LEN(Table1[[#This Row],[Location]])-FIND(",",Table1[[#This Row],[Location]])))</f>
        <v>Florida</v>
      </c>
      <c r="F476" t="s">
        <v>296</v>
      </c>
      <c r="G476" t="s">
        <v>18</v>
      </c>
      <c r="H476" t="s">
        <v>19</v>
      </c>
      <c r="I476">
        <v>104538</v>
      </c>
      <c r="J476">
        <v>347</v>
      </c>
      <c r="K476">
        <v>49049</v>
      </c>
      <c r="L476">
        <v>97093</v>
      </c>
      <c r="M476">
        <v>2</v>
      </c>
      <c r="N476">
        <v>5266.4242329999997</v>
      </c>
      <c r="O476" s="7">
        <f>IFERROR(Table1[[#This Row],[Clicks]]/Table1[[#This Row],[Impressions]],0)</f>
        <v>3.319367120090302E-3</v>
      </c>
      <c r="P476" s="5">
        <f>IFERROR(Table1[[#This Row],[Total Conversions]]/Table1[[#This Row],[Clicks]],0)</f>
        <v>5.763688760806916E-3</v>
      </c>
      <c r="Q476" s="10">
        <f>IFERROR(Table1[[#This Row],[Gross Cost]]/Table1[[#This Row],[Total Conversions]],0)</f>
        <v>2633.2121164999999</v>
      </c>
      <c r="R476" s="10">
        <f>IFERROR(Table1[[#This Row],[Gross Cost]]/(Table1[[#This Row],[Impressions]]/1000),0)</f>
        <v>50.378084839962497</v>
      </c>
      <c r="S476" s="5">
        <f>IFERROR(Table1[[#This Row],[Viewable Impressions]]/Table1[[#This Row],[Measurable Impressions]],0)</f>
        <v>0.50517545034142519</v>
      </c>
      <c r="T476" s="10">
        <f>IFERROR(1000*Table1[[#This Row],[Gross Cost]]/Table1[[#This Row],[Viewable Impressions]],0)</f>
        <v>107.37067489653204</v>
      </c>
      <c r="U476" s="10"/>
    </row>
    <row r="477" spans="1:21" x14ac:dyDescent="0.2">
      <c r="A477" t="s">
        <v>431</v>
      </c>
      <c r="B477" t="s">
        <v>21</v>
      </c>
      <c r="C477" t="s">
        <v>41</v>
      </c>
      <c r="D477" t="s">
        <v>432</v>
      </c>
      <c r="E477" t="str">
        <f>TRIM(RIGHT(Table1[[#This Row],[Location]],LEN(Table1[[#This Row],[Location]])-FIND(",",Table1[[#This Row],[Location]])))</f>
        <v>Mississippi</v>
      </c>
      <c r="F477" t="s">
        <v>433</v>
      </c>
      <c r="G477" t="s">
        <v>18</v>
      </c>
      <c r="H477" t="s">
        <v>26</v>
      </c>
      <c r="I477">
        <v>109709</v>
      </c>
      <c r="J477">
        <v>278</v>
      </c>
      <c r="K477">
        <v>3064</v>
      </c>
      <c r="L477">
        <v>15428</v>
      </c>
      <c r="M477">
        <v>20</v>
      </c>
      <c r="N477">
        <v>5409.0839550000001</v>
      </c>
      <c r="O477" s="7">
        <f>IFERROR(Table1[[#This Row],[Clicks]]/Table1[[#This Row],[Impressions]],0)</f>
        <v>2.533976246251447E-3</v>
      </c>
      <c r="P477" s="5">
        <f>IFERROR(Table1[[#This Row],[Total Conversions]]/Table1[[#This Row],[Clicks]],0)</f>
        <v>7.1942446043165464E-2</v>
      </c>
      <c r="Q477" s="10">
        <f>IFERROR(Table1[[#This Row],[Gross Cost]]/Table1[[#This Row],[Total Conversions]],0)</f>
        <v>270.45419774999999</v>
      </c>
      <c r="R477" s="10">
        <f>IFERROR(Table1[[#This Row],[Gross Cost]]/(Table1[[#This Row],[Impressions]]/1000),0)</f>
        <v>49.303921783992195</v>
      </c>
      <c r="S477" s="5">
        <f>IFERROR(Table1[[#This Row],[Viewable Impressions]]/Table1[[#This Row],[Measurable Impressions]],0)</f>
        <v>0.19859994814622764</v>
      </c>
      <c r="T477" s="10">
        <f>IFERROR(1000*Table1[[#This Row],[Gross Cost]]/Table1[[#This Row],[Viewable Impressions]],0)</f>
        <v>1765.3668260443865</v>
      </c>
      <c r="U477" s="10"/>
    </row>
    <row r="478" spans="1:21" x14ac:dyDescent="0.2">
      <c r="A478" t="s">
        <v>772</v>
      </c>
      <c r="B478" t="s">
        <v>14</v>
      </c>
      <c r="C478" t="s">
        <v>41</v>
      </c>
      <c r="D478" t="s">
        <v>203</v>
      </c>
      <c r="E478" t="str">
        <f>TRIM(RIGHT(Table1[[#This Row],[Location]],LEN(Table1[[#This Row],[Location]])-FIND(",",Table1[[#This Row],[Location]])))</f>
        <v>Michigan</v>
      </c>
      <c r="F478" t="s">
        <v>771</v>
      </c>
      <c r="G478" t="s">
        <v>18</v>
      </c>
      <c r="H478" t="s">
        <v>51</v>
      </c>
      <c r="I478">
        <v>34278</v>
      </c>
      <c r="J478">
        <v>100</v>
      </c>
      <c r="K478">
        <v>3704</v>
      </c>
      <c r="L478">
        <v>30227</v>
      </c>
      <c r="M478">
        <v>6</v>
      </c>
      <c r="N478">
        <v>1689.0831860000001</v>
      </c>
      <c r="O478" s="7">
        <f>IFERROR(Table1[[#This Row],[Clicks]]/Table1[[#This Row],[Impressions]],0)</f>
        <v>2.9173230643561466E-3</v>
      </c>
      <c r="P478" s="5">
        <f>IFERROR(Table1[[#This Row],[Total Conversions]]/Table1[[#This Row],[Clicks]],0)</f>
        <v>0.06</v>
      </c>
      <c r="Q478" s="10">
        <f>IFERROR(Table1[[#This Row],[Gross Cost]]/Table1[[#This Row],[Total Conversions]],0)</f>
        <v>281.51386433333334</v>
      </c>
      <c r="R478" s="10">
        <f>IFERROR(Table1[[#This Row],[Gross Cost]]/(Table1[[#This Row],[Impressions]]/1000),0)</f>
        <v>49.276013361339636</v>
      </c>
      <c r="S478" s="5">
        <f>IFERROR(Table1[[#This Row],[Viewable Impressions]]/Table1[[#This Row],[Measurable Impressions]],0)</f>
        <v>0.12253945148377278</v>
      </c>
      <c r="T478" s="10">
        <f>IFERROR(1000*Table1[[#This Row],[Gross Cost]]/Table1[[#This Row],[Viewable Impressions]],0)</f>
        <v>456.01597894168464</v>
      </c>
      <c r="U478" s="10"/>
    </row>
    <row r="479" spans="1:21" x14ac:dyDescent="0.2">
      <c r="A479" t="s">
        <v>765</v>
      </c>
      <c r="B479" t="s">
        <v>14</v>
      </c>
      <c r="C479" t="s">
        <v>15</v>
      </c>
      <c r="D479" t="s">
        <v>31</v>
      </c>
      <c r="E479" t="str">
        <f>TRIM(RIGHT(Table1[[#This Row],[Location]],LEN(Table1[[#This Row],[Location]])-FIND(",",Table1[[#This Row],[Location]])))</f>
        <v>Michigan</v>
      </c>
      <c r="F479" t="s">
        <v>742</v>
      </c>
      <c r="G479" t="s">
        <v>45</v>
      </c>
      <c r="H479" t="s">
        <v>26</v>
      </c>
      <c r="I479">
        <v>30714</v>
      </c>
      <c r="J479">
        <v>111</v>
      </c>
      <c r="K479">
        <v>12531</v>
      </c>
      <c r="L479">
        <v>28461</v>
      </c>
      <c r="M479">
        <v>9</v>
      </c>
      <c r="N479">
        <v>1503.4843109999999</v>
      </c>
      <c r="O479" s="7">
        <f>IFERROR(Table1[[#This Row],[Clicks]]/Table1[[#This Row],[Impressions]],0)</f>
        <v>3.6139871068568081E-3</v>
      </c>
      <c r="P479" s="5">
        <f>IFERROR(Table1[[#This Row],[Total Conversions]]/Table1[[#This Row],[Clicks]],0)</f>
        <v>8.1081081081081086E-2</v>
      </c>
      <c r="Q479" s="10">
        <f>IFERROR(Table1[[#This Row],[Gross Cost]]/Table1[[#This Row],[Total Conversions]],0)</f>
        <v>167.05381233333333</v>
      </c>
      <c r="R479" s="10">
        <f>IFERROR(Table1[[#This Row],[Gross Cost]]/(Table1[[#This Row],[Impressions]]/1000),0)</f>
        <v>48.951107345184603</v>
      </c>
      <c r="S479" s="5">
        <f>IFERROR(Table1[[#This Row],[Viewable Impressions]]/Table1[[#This Row],[Measurable Impressions]],0)</f>
        <v>0.44028670812691051</v>
      </c>
      <c r="T479" s="10">
        <f>IFERROR(1000*Table1[[#This Row],[Gross Cost]]/Table1[[#This Row],[Viewable Impressions]],0)</f>
        <v>119.98119152501795</v>
      </c>
      <c r="U479" s="10"/>
    </row>
    <row r="480" spans="1:21" x14ac:dyDescent="0.2">
      <c r="A480" t="s">
        <v>359</v>
      </c>
      <c r="B480" t="s">
        <v>14</v>
      </c>
      <c r="C480" t="s">
        <v>41</v>
      </c>
      <c r="D480" t="s">
        <v>34</v>
      </c>
      <c r="E480" t="str">
        <f>TRIM(RIGHT(Table1[[#This Row],[Location]],LEN(Table1[[#This Row],[Location]])-FIND(",",Table1[[#This Row],[Location]])))</f>
        <v>Illinois</v>
      </c>
      <c r="F480" t="s">
        <v>357</v>
      </c>
      <c r="G480" t="s">
        <v>18</v>
      </c>
      <c r="H480" t="s">
        <v>51</v>
      </c>
      <c r="I480">
        <v>65238</v>
      </c>
      <c r="J480">
        <v>240</v>
      </c>
      <c r="K480">
        <v>23741</v>
      </c>
      <c r="L480">
        <v>59893</v>
      </c>
      <c r="M480">
        <v>15</v>
      </c>
      <c r="N480">
        <v>3132.519209</v>
      </c>
      <c r="O480" s="7">
        <f>IFERROR(Table1[[#This Row],[Clicks]]/Table1[[#This Row],[Impressions]],0)</f>
        <v>3.678837487353996E-3</v>
      </c>
      <c r="P480" s="5">
        <f>IFERROR(Table1[[#This Row],[Total Conversions]]/Table1[[#This Row],[Clicks]],0)</f>
        <v>6.25E-2</v>
      </c>
      <c r="Q480" s="10">
        <f>IFERROR(Table1[[#This Row],[Gross Cost]]/Table1[[#This Row],[Total Conversions]],0)</f>
        <v>208.83461393333334</v>
      </c>
      <c r="R480" s="10">
        <f>IFERROR(Table1[[#This Row],[Gross Cost]]/(Table1[[#This Row],[Impressions]]/1000),0)</f>
        <v>48.016787899690364</v>
      </c>
      <c r="S480" s="5">
        <f>IFERROR(Table1[[#This Row],[Viewable Impressions]]/Table1[[#This Row],[Measurable Impressions]],0)</f>
        <v>0.39639022924214851</v>
      </c>
      <c r="T480" s="10">
        <f>IFERROR(1000*Table1[[#This Row],[Gross Cost]]/Table1[[#This Row],[Viewable Impressions]],0)</f>
        <v>131.94554605955943</v>
      </c>
      <c r="U480" s="10"/>
    </row>
    <row r="481" spans="1:21" x14ac:dyDescent="0.2">
      <c r="A481" t="s">
        <v>629</v>
      </c>
      <c r="B481" t="s">
        <v>21</v>
      </c>
      <c r="C481" t="s">
        <v>30</v>
      </c>
      <c r="D481" t="s">
        <v>38</v>
      </c>
      <c r="E481" t="str">
        <f>TRIM(RIGHT(Table1[[#This Row],[Location]],LEN(Table1[[#This Row],[Location]])-FIND(",",Table1[[#This Row],[Location]])))</f>
        <v>Tennessee</v>
      </c>
      <c r="F481" t="s">
        <v>611</v>
      </c>
      <c r="G481" t="s">
        <v>18</v>
      </c>
      <c r="H481" t="s">
        <v>26</v>
      </c>
      <c r="I481">
        <v>58738</v>
      </c>
      <c r="J481">
        <v>165</v>
      </c>
      <c r="K481">
        <v>33538</v>
      </c>
      <c r="L481">
        <v>47535</v>
      </c>
      <c r="M481">
        <v>14</v>
      </c>
      <c r="N481">
        <v>2801.584386</v>
      </c>
      <c r="O481" s="7">
        <f>IFERROR(Table1[[#This Row],[Clicks]]/Table1[[#This Row],[Impressions]],0)</f>
        <v>2.8090844087302939E-3</v>
      </c>
      <c r="P481" s="5">
        <f>IFERROR(Table1[[#This Row],[Total Conversions]]/Table1[[#This Row],[Clicks]],0)</f>
        <v>8.4848484848484854E-2</v>
      </c>
      <c r="Q481" s="10">
        <f>IFERROR(Table1[[#This Row],[Gross Cost]]/Table1[[#This Row],[Total Conversions]],0)</f>
        <v>200.11317042857144</v>
      </c>
      <c r="R481" s="10">
        <f>IFERROR(Table1[[#This Row],[Gross Cost]]/(Table1[[#This Row],[Impressions]]/1000),0)</f>
        <v>47.696284960332321</v>
      </c>
      <c r="S481" s="5">
        <f>IFERROR(Table1[[#This Row],[Viewable Impressions]]/Table1[[#This Row],[Measurable Impressions]],0)</f>
        <v>0.70554328389607657</v>
      </c>
      <c r="T481" s="10">
        <f>IFERROR(1000*Table1[[#This Row],[Gross Cost]]/Table1[[#This Row],[Viewable Impressions]],0)</f>
        <v>83.534628958196677</v>
      </c>
      <c r="U481" s="10"/>
    </row>
    <row r="482" spans="1:21" x14ac:dyDescent="0.2">
      <c r="A482" t="s">
        <v>707</v>
      </c>
      <c r="B482" t="s">
        <v>21</v>
      </c>
      <c r="C482" t="s">
        <v>41</v>
      </c>
      <c r="D482" t="s">
        <v>31</v>
      </c>
      <c r="E482" t="str">
        <f>TRIM(RIGHT(Table1[[#This Row],[Location]],LEN(Table1[[#This Row],[Location]])-FIND(",",Table1[[#This Row],[Location]])))</f>
        <v>Michigan</v>
      </c>
      <c r="F482" t="s">
        <v>701</v>
      </c>
      <c r="G482" t="s">
        <v>18</v>
      </c>
      <c r="H482" t="s">
        <v>26</v>
      </c>
      <c r="I482">
        <v>42833</v>
      </c>
      <c r="J482">
        <v>120</v>
      </c>
      <c r="K482">
        <v>37438</v>
      </c>
      <c r="L482">
        <v>40447</v>
      </c>
      <c r="M482">
        <v>9</v>
      </c>
      <c r="N482">
        <v>2040.9348190000001</v>
      </c>
      <c r="O482" s="7">
        <f>IFERROR(Table1[[#This Row],[Clicks]]/Table1[[#This Row],[Impressions]],0)</f>
        <v>2.8015782223986181E-3</v>
      </c>
      <c r="P482" s="5">
        <f>IFERROR(Table1[[#This Row],[Total Conversions]]/Table1[[#This Row],[Clicks]],0)</f>
        <v>7.4999999999999997E-2</v>
      </c>
      <c r="Q482" s="10">
        <f>IFERROR(Table1[[#This Row],[Gross Cost]]/Table1[[#This Row],[Total Conversions]],0)</f>
        <v>226.77053544444445</v>
      </c>
      <c r="R482" s="10">
        <f>IFERROR(Table1[[#This Row],[Gross Cost]]/(Table1[[#This Row],[Impressions]]/1000),0)</f>
        <v>47.648654518712213</v>
      </c>
      <c r="S482" s="5">
        <f>IFERROR(Table1[[#This Row],[Viewable Impressions]]/Table1[[#This Row],[Measurable Impressions]],0)</f>
        <v>0.92560634904937322</v>
      </c>
      <c r="T482" s="10">
        <f>IFERROR(1000*Table1[[#This Row],[Gross Cost]]/Table1[[#This Row],[Viewable Impressions]],0)</f>
        <v>54.515060072653455</v>
      </c>
      <c r="U482" s="10"/>
    </row>
    <row r="483" spans="1:21" x14ac:dyDescent="0.2">
      <c r="A483" t="s">
        <v>245</v>
      </c>
      <c r="B483" t="s">
        <v>14</v>
      </c>
      <c r="C483" t="s">
        <v>41</v>
      </c>
      <c r="D483" t="s">
        <v>77</v>
      </c>
      <c r="E483" t="str">
        <f>TRIM(RIGHT(Table1[[#This Row],[Location]],LEN(Table1[[#This Row],[Location]])-FIND(",",Table1[[#This Row],[Location]])))</f>
        <v>New York</v>
      </c>
      <c r="F483" t="s">
        <v>241</v>
      </c>
      <c r="G483" t="s">
        <v>49</v>
      </c>
      <c r="H483" t="s">
        <v>26</v>
      </c>
      <c r="I483">
        <v>45402</v>
      </c>
      <c r="J483">
        <v>122</v>
      </c>
      <c r="K483">
        <v>17284</v>
      </c>
      <c r="L483">
        <v>27542</v>
      </c>
      <c r="M483">
        <v>5</v>
      </c>
      <c r="N483">
        <v>2163.2653460000001</v>
      </c>
      <c r="O483" s="7">
        <f>IFERROR(Table1[[#This Row],[Clicks]]/Table1[[#This Row],[Impressions]],0)</f>
        <v>2.6871062948768776E-3</v>
      </c>
      <c r="P483" s="5">
        <f>IFERROR(Table1[[#This Row],[Total Conversions]]/Table1[[#This Row],[Clicks]],0)</f>
        <v>4.0983606557377046E-2</v>
      </c>
      <c r="Q483" s="10">
        <f>IFERROR(Table1[[#This Row],[Gross Cost]]/Table1[[#This Row],[Total Conversions]],0)</f>
        <v>432.6530692</v>
      </c>
      <c r="R483" s="10">
        <f>IFERROR(Table1[[#This Row],[Gross Cost]]/(Table1[[#This Row],[Impressions]]/1000),0)</f>
        <v>47.646917448570548</v>
      </c>
      <c r="S483" s="5">
        <f>IFERROR(Table1[[#This Row],[Viewable Impressions]]/Table1[[#This Row],[Measurable Impressions]],0)</f>
        <v>0.62755064991649123</v>
      </c>
      <c r="T483" s="10">
        <f>IFERROR(1000*Table1[[#This Row],[Gross Cost]]/Table1[[#This Row],[Viewable Impressions]],0)</f>
        <v>125.15999456144411</v>
      </c>
      <c r="U483" s="10"/>
    </row>
    <row r="484" spans="1:21" x14ac:dyDescent="0.2">
      <c r="A484" t="s">
        <v>625</v>
      </c>
      <c r="B484" t="s">
        <v>14</v>
      </c>
      <c r="C484" t="s">
        <v>41</v>
      </c>
      <c r="D484" t="s">
        <v>28</v>
      </c>
      <c r="E484" t="str">
        <f>TRIM(RIGHT(Table1[[#This Row],[Location]],LEN(Table1[[#This Row],[Location]])-FIND(",",Table1[[#This Row],[Location]])))</f>
        <v>California</v>
      </c>
      <c r="F484" t="s">
        <v>611</v>
      </c>
      <c r="G484" t="s">
        <v>18</v>
      </c>
      <c r="H484" t="s">
        <v>26</v>
      </c>
      <c r="I484">
        <v>109128</v>
      </c>
      <c r="J484">
        <v>470</v>
      </c>
      <c r="K484">
        <v>38487</v>
      </c>
      <c r="L484">
        <v>90615</v>
      </c>
      <c r="M484">
        <v>3</v>
      </c>
      <c r="N484">
        <v>5153.1172040000001</v>
      </c>
      <c r="O484" s="7">
        <f>IFERROR(Table1[[#This Row],[Clicks]]/Table1[[#This Row],[Impressions]],0)</f>
        <v>4.3068689978740561E-3</v>
      </c>
      <c r="P484" s="5">
        <f>IFERROR(Table1[[#This Row],[Total Conversions]]/Table1[[#This Row],[Clicks]],0)</f>
        <v>6.382978723404255E-3</v>
      </c>
      <c r="Q484" s="10">
        <f>IFERROR(Table1[[#This Row],[Gross Cost]]/Table1[[#This Row],[Total Conversions]],0)</f>
        <v>1717.7057346666668</v>
      </c>
      <c r="R484" s="10">
        <f>IFERROR(Table1[[#This Row],[Gross Cost]]/(Table1[[#This Row],[Impressions]]/1000),0)</f>
        <v>47.220852613444762</v>
      </c>
      <c r="S484" s="5">
        <f>IFERROR(Table1[[#This Row],[Viewable Impressions]]/Table1[[#This Row],[Measurable Impressions]],0)</f>
        <v>0.42473100480052972</v>
      </c>
      <c r="T484" s="10">
        <f>IFERROR(1000*Table1[[#This Row],[Gross Cost]]/Table1[[#This Row],[Viewable Impressions]],0)</f>
        <v>133.8924105282303</v>
      </c>
      <c r="U484" s="10"/>
    </row>
    <row r="485" spans="1:21" x14ac:dyDescent="0.2">
      <c r="A485" t="s">
        <v>914</v>
      </c>
      <c r="B485" t="s">
        <v>60</v>
      </c>
      <c r="C485" t="s">
        <v>15</v>
      </c>
      <c r="D485" t="s">
        <v>77</v>
      </c>
      <c r="E485" t="str">
        <f>TRIM(RIGHT(Table1[[#This Row],[Location]],LEN(Table1[[#This Row],[Location]])-FIND(",",Table1[[#This Row],[Location]])))</f>
        <v>New York</v>
      </c>
      <c r="F485" t="s">
        <v>911</v>
      </c>
      <c r="G485" t="s">
        <v>45</v>
      </c>
      <c r="H485" t="s">
        <v>26</v>
      </c>
      <c r="I485">
        <v>32400</v>
      </c>
      <c r="J485">
        <v>87</v>
      </c>
      <c r="K485">
        <v>5152</v>
      </c>
      <c r="L485">
        <v>30383</v>
      </c>
      <c r="M485">
        <v>9</v>
      </c>
      <c r="N485">
        <v>1522.352623</v>
      </c>
      <c r="O485" s="7">
        <f>IFERROR(Table1[[#This Row],[Clicks]]/Table1[[#This Row],[Impressions]],0)</f>
        <v>2.685185185185185E-3</v>
      </c>
      <c r="P485" s="5">
        <f>IFERROR(Table1[[#This Row],[Total Conversions]]/Table1[[#This Row],[Clicks]],0)</f>
        <v>0.10344827586206896</v>
      </c>
      <c r="Q485" s="10">
        <f>IFERROR(Table1[[#This Row],[Gross Cost]]/Table1[[#This Row],[Total Conversions]],0)</f>
        <v>169.15029144444443</v>
      </c>
      <c r="R485" s="10">
        <f>IFERROR(Table1[[#This Row],[Gross Cost]]/(Table1[[#This Row],[Impressions]]/1000),0)</f>
        <v>46.986192067901236</v>
      </c>
      <c r="S485" s="5">
        <f>IFERROR(Table1[[#This Row],[Viewable Impressions]]/Table1[[#This Row],[Measurable Impressions]],0)</f>
        <v>0.16956850870552612</v>
      </c>
      <c r="T485" s="10">
        <f>IFERROR(1000*Table1[[#This Row],[Gross Cost]]/Table1[[#This Row],[Viewable Impressions]],0)</f>
        <v>295.48769856366459</v>
      </c>
      <c r="U485" s="10"/>
    </row>
    <row r="486" spans="1:21" x14ac:dyDescent="0.2">
      <c r="A486" t="s">
        <v>401</v>
      </c>
      <c r="B486" t="s">
        <v>21</v>
      </c>
      <c r="C486" t="s">
        <v>22</v>
      </c>
      <c r="D486" t="s">
        <v>77</v>
      </c>
      <c r="E486" t="str">
        <f>TRIM(RIGHT(Table1[[#This Row],[Location]],LEN(Table1[[#This Row],[Location]])-FIND(",",Table1[[#This Row],[Location]])))</f>
        <v>New York</v>
      </c>
      <c r="F486" t="s">
        <v>389</v>
      </c>
      <c r="G486" t="s">
        <v>18</v>
      </c>
      <c r="H486" t="s">
        <v>26</v>
      </c>
      <c r="I486">
        <v>33069</v>
      </c>
      <c r="J486">
        <v>140</v>
      </c>
      <c r="K486">
        <v>17744</v>
      </c>
      <c r="L486">
        <v>31192</v>
      </c>
      <c r="M486">
        <v>14</v>
      </c>
      <c r="N486">
        <v>1543.3106110000001</v>
      </c>
      <c r="O486" s="7">
        <f>IFERROR(Table1[[#This Row],[Clicks]]/Table1[[#This Row],[Impressions]],0)</f>
        <v>4.2335722277661858E-3</v>
      </c>
      <c r="P486" s="5">
        <f>IFERROR(Table1[[#This Row],[Total Conversions]]/Table1[[#This Row],[Clicks]],0)</f>
        <v>0.1</v>
      </c>
      <c r="Q486" s="10">
        <f>IFERROR(Table1[[#This Row],[Gross Cost]]/Table1[[#This Row],[Total Conversions]],0)</f>
        <v>110.23647221428573</v>
      </c>
      <c r="R486" s="10">
        <f>IFERROR(Table1[[#This Row],[Gross Cost]]/(Table1[[#This Row],[Impressions]]/1000),0)</f>
        <v>46.669406725331882</v>
      </c>
      <c r="S486" s="5">
        <f>IFERROR(Table1[[#This Row],[Viewable Impressions]]/Table1[[#This Row],[Measurable Impressions]],0)</f>
        <v>0.56886381123364971</v>
      </c>
      <c r="T486" s="10">
        <f>IFERROR(1000*Table1[[#This Row],[Gross Cost]]/Table1[[#This Row],[Viewable Impressions]],0)</f>
        <v>86.976477175383224</v>
      </c>
      <c r="U486" s="10"/>
    </row>
    <row r="487" spans="1:21" x14ac:dyDescent="0.2">
      <c r="A487" t="s">
        <v>535</v>
      </c>
      <c r="B487" t="s">
        <v>14</v>
      </c>
      <c r="C487" t="s">
        <v>41</v>
      </c>
      <c r="D487" t="s">
        <v>94</v>
      </c>
      <c r="E487" t="str">
        <f>TRIM(RIGHT(Table1[[#This Row],[Location]],LEN(Table1[[#This Row],[Location]])-FIND(",",Table1[[#This Row],[Location]])))</f>
        <v>Florida</v>
      </c>
      <c r="F487" t="s">
        <v>517</v>
      </c>
      <c r="G487" t="s">
        <v>25</v>
      </c>
      <c r="H487" t="s">
        <v>51</v>
      </c>
      <c r="I487">
        <v>32173</v>
      </c>
      <c r="J487">
        <v>104</v>
      </c>
      <c r="K487">
        <v>24427</v>
      </c>
      <c r="L487">
        <v>30084</v>
      </c>
      <c r="M487">
        <v>11</v>
      </c>
      <c r="N487">
        <v>1498.2915399999999</v>
      </c>
      <c r="O487" s="7">
        <f>IFERROR(Table1[[#This Row],[Clicks]]/Table1[[#This Row],[Impressions]],0)</f>
        <v>3.2325241662263388E-3</v>
      </c>
      <c r="P487" s="5">
        <f>IFERROR(Table1[[#This Row],[Total Conversions]]/Table1[[#This Row],[Clicks]],0)</f>
        <v>0.10576923076923077</v>
      </c>
      <c r="Q487" s="10">
        <f>IFERROR(Table1[[#This Row],[Gross Cost]]/Table1[[#This Row],[Total Conversions]],0)</f>
        <v>136.20832181818182</v>
      </c>
      <c r="R487" s="10">
        <f>IFERROR(Table1[[#This Row],[Gross Cost]]/(Table1[[#This Row],[Impressions]]/1000),0)</f>
        <v>46.569842414446889</v>
      </c>
      <c r="S487" s="5">
        <f>IFERROR(Table1[[#This Row],[Viewable Impressions]]/Table1[[#This Row],[Measurable Impressions]],0)</f>
        <v>0.81195984576519076</v>
      </c>
      <c r="T487" s="10">
        <f>IFERROR(1000*Table1[[#This Row],[Gross Cost]]/Table1[[#This Row],[Viewable Impressions]],0)</f>
        <v>61.337517501125802</v>
      </c>
      <c r="U487" s="10"/>
    </row>
    <row r="488" spans="1:21" x14ac:dyDescent="0.2">
      <c r="A488" t="s">
        <v>346</v>
      </c>
      <c r="B488" t="s">
        <v>21</v>
      </c>
      <c r="C488" t="s">
        <v>41</v>
      </c>
      <c r="D488" t="s">
        <v>23</v>
      </c>
      <c r="E488" t="str">
        <f>TRIM(RIGHT(Table1[[#This Row],[Location]],LEN(Table1[[#This Row],[Location]])-FIND(",",Table1[[#This Row],[Location]])))</f>
        <v>Florida</v>
      </c>
      <c r="F488" t="s">
        <v>347</v>
      </c>
      <c r="G488" t="s">
        <v>35</v>
      </c>
      <c r="H488" t="s">
        <v>26</v>
      </c>
      <c r="I488">
        <v>31243</v>
      </c>
      <c r="J488">
        <v>100</v>
      </c>
      <c r="K488">
        <v>16326</v>
      </c>
      <c r="L488">
        <v>25991</v>
      </c>
      <c r="M488">
        <v>21</v>
      </c>
      <c r="N488">
        <v>1452.5905600000001</v>
      </c>
      <c r="O488" s="7">
        <f>IFERROR(Table1[[#This Row],[Clicks]]/Table1[[#This Row],[Impressions]],0)</f>
        <v>3.2007169605991741E-3</v>
      </c>
      <c r="P488" s="5">
        <f>IFERROR(Table1[[#This Row],[Total Conversions]]/Table1[[#This Row],[Clicks]],0)</f>
        <v>0.21</v>
      </c>
      <c r="Q488" s="10">
        <f>IFERROR(Table1[[#This Row],[Gross Cost]]/Table1[[#This Row],[Total Conversions]],0)</f>
        <v>69.170979047619056</v>
      </c>
      <c r="R488" s="10">
        <f>IFERROR(Table1[[#This Row],[Gross Cost]]/(Table1[[#This Row],[Impressions]]/1000),0)</f>
        <v>46.49331242198253</v>
      </c>
      <c r="S488" s="5">
        <f>IFERROR(Table1[[#This Row],[Viewable Impressions]]/Table1[[#This Row],[Measurable Impressions]],0)</f>
        <v>0.62814051017659955</v>
      </c>
      <c r="T488" s="10">
        <f>IFERROR(1000*Table1[[#This Row],[Gross Cost]]/Table1[[#This Row],[Viewable Impressions]],0)</f>
        <v>88.974063457062357</v>
      </c>
      <c r="U488" s="10"/>
    </row>
    <row r="489" spans="1:21" x14ac:dyDescent="0.2">
      <c r="A489" t="s">
        <v>824</v>
      </c>
      <c r="B489" t="s">
        <v>14</v>
      </c>
      <c r="C489" t="s">
        <v>41</v>
      </c>
      <c r="D489" t="s">
        <v>182</v>
      </c>
      <c r="E489" t="str">
        <f>TRIM(RIGHT(Table1[[#This Row],[Location]],LEN(Table1[[#This Row],[Location]])-FIND(",",Table1[[#This Row],[Location]])))</f>
        <v>Tennessee</v>
      </c>
      <c r="F489" t="s">
        <v>818</v>
      </c>
      <c r="G489" t="s">
        <v>18</v>
      </c>
      <c r="H489" t="s">
        <v>26</v>
      </c>
      <c r="I489">
        <v>37554</v>
      </c>
      <c r="J489">
        <v>92</v>
      </c>
      <c r="K489">
        <v>13128</v>
      </c>
      <c r="L489">
        <v>27596</v>
      </c>
      <c r="M489">
        <v>8</v>
      </c>
      <c r="N489">
        <v>1737.8434850000001</v>
      </c>
      <c r="O489" s="7">
        <f>IFERROR(Table1[[#This Row],[Clicks]]/Table1[[#This Row],[Impressions]],0)</f>
        <v>2.4498056132502529E-3</v>
      </c>
      <c r="P489" s="5">
        <f>IFERROR(Table1[[#This Row],[Total Conversions]]/Table1[[#This Row],[Clicks]],0)</f>
        <v>8.6956521739130432E-2</v>
      </c>
      <c r="Q489" s="10">
        <f>IFERROR(Table1[[#This Row],[Gross Cost]]/Table1[[#This Row],[Total Conversions]],0)</f>
        <v>217.23043562500001</v>
      </c>
      <c r="R489" s="10">
        <f>IFERROR(Table1[[#This Row],[Gross Cost]]/(Table1[[#This Row],[Impressions]]/1000),0)</f>
        <v>46.275855701123717</v>
      </c>
      <c r="S489" s="5">
        <f>IFERROR(Table1[[#This Row],[Viewable Impressions]]/Table1[[#This Row],[Measurable Impressions]],0)</f>
        <v>0.47572111900275404</v>
      </c>
      <c r="T489" s="10">
        <f>IFERROR(1000*Table1[[#This Row],[Gross Cost]]/Table1[[#This Row],[Viewable Impressions]],0)</f>
        <v>132.37686509750154</v>
      </c>
      <c r="U489" s="10"/>
    </row>
    <row r="490" spans="1:21" x14ac:dyDescent="0.2">
      <c r="A490" t="s">
        <v>934</v>
      </c>
      <c r="B490" t="s">
        <v>14</v>
      </c>
      <c r="C490" t="s">
        <v>30</v>
      </c>
      <c r="D490" t="s">
        <v>34</v>
      </c>
      <c r="E490" t="str">
        <f>TRIM(RIGHT(Table1[[#This Row],[Location]],LEN(Table1[[#This Row],[Location]])-FIND(",",Table1[[#This Row],[Location]])))</f>
        <v>Illinois</v>
      </c>
      <c r="F490" t="s">
        <v>918</v>
      </c>
      <c r="G490" t="s">
        <v>18</v>
      </c>
      <c r="H490" t="s">
        <v>26</v>
      </c>
      <c r="I490">
        <v>100991</v>
      </c>
      <c r="J490">
        <v>286</v>
      </c>
      <c r="K490">
        <v>56138</v>
      </c>
      <c r="L490">
        <v>88836</v>
      </c>
      <c r="M490">
        <v>9</v>
      </c>
      <c r="N490">
        <v>4652.3676290000003</v>
      </c>
      <c r="O490" s="7">
        <f>IFERROR(Table1[[#This Row],[Clicks]]/Table1[[#This Row],[Impressions]],0)</f>
        <v>2.8319355190066444E-3</v>
      </c>
      <c r="P490" s="5">
        <f>IFERROR(Table1[[#This Row],[Total Conversions]]/Table1[[#This Row],[Clicks]],0)</f>
        <v>3.1468531468531472E-2</v>
      </c>
      <c r="Q490" s="10">
        <f>IFERROR(Table1[[#This Row],[Gross Cost]]/Table1[[#This Row],[Total Conversions]],0)</f>
        <v>516.92973655555556</v>
      </c>
      <c r="R490" s="10">
        <f>IFERROR(Table1[[#This Row],[Gross Cost]]/(Table1[[#This Row],[Impressions]]/1000),0)</f>
        <v>46.067150825321072</v>
      </c>
      <c r="S490" s="5">
        <f>IFERROR(Table1[[#This Row],[Viewable Impressions]]/Table1[[#This Row],[Measurable Impressions]],0)</f>
        <v>0.63192849745598634</v>
      </c>
      <c r="T490" s="10">
        <f>IFERROR(1000*Table1[[#This Row],[Gross Cost]]/Table1[[#This Row],[Viewable Impressions]],0)</f>
        <v>82.8737687306281</v>
      </c>
      <c r="U490" s="10"/>
    </row>
    <row r="491" spans="1:21" x14ac:dyDescent="0.2">
      <c r="A491" t="s">
        <v>603</v>
      </c>
      <c r="B491" t="s">
        <v>21</v>
      </c>
      <c r="C491" t="s">
        <v>22</v>
      </c>
      <c r="D491" t="s">
        <v>182</v>
      </c>
      <c r="E491" t="str">
        <f>TRIM(RIGHT(Table1[[#This Row],[Location]],LEN(Table1[[#This Row],[Location]])-FIND(",",Table1[[#This Row],[Location]])))</f>
        <v>Tennessee</v>
      </c>
      <c r="F491" t="s">
        <v>597</v>
      </c>
      <c r="G491" t="s">
        <v>45</v>
      </c>
      <c r="H491" t="s">
        <v>26</v>
      </c>
      <c r="I491">
        <v>32714</v>
      </c>
      <c r="J491">
        <v>69</v>
      </c>
      <c r="K491">
        <v>3756</v>
      </c>
      <c r="L491">
        <v>30764</v>
      </c>
      <c r="M491">
        <v>15</v>
      </c>
      <c r="N491">
        <v>1506.6243039999999</v>
      </c>
      <c r="O491" s="7">
        <f>IFERROR(Table1[[#This Row],[Clicks]]/Table1[[#This Row],[Impressions]],0)</f>
        <v>2.1091887265390964E-3</v>
      </c>
      <c r="P491" s="5">
        <f>IFERROR(Table1[[#This Row],[Total Conversions]]/Table1[[#This Row],[Clicks]],0)</f>
        <v>0.21739130434782608</v>
      </c>
      <c r="Q491" s="10">
        <f>IFERROR(Table1[[#This Row],[Gross Cost]]/Table1[[#This Row],[Total Conversions]],0)</f>
        <v>100.44162026666666</v>
      </c>
      <c r="R491" s="10">
        <f>IFERROR(Table1[[#This Row],[Gross Cost]]/(Table1[[#This Row],[Impressions]]/1000),0)</f>
        <v>46.054420248211777</v>
      </c>
      <c r="S491" s="5">
        <f>IFERROR(Table1[[#This Row],[Viewable Impressions]]/Table1[[#This Row],[Measurable Impressions]],0)</f>
        <v>0.12209075542842283</v>
      </c>
      <c r="T491" s="10">
        <f>IFERROR(1000*Table1[[#This Row],[Gross Cost]]/Table1[[#This Row],[Viewable Impressions]],0)</f>
        <v>401.12468157614484</v>
      </c>
      <c r="U491" s="10"/>
    </row>
    <row r="492" spans="1:21" x14ac:dyDescent="0.2">
      <c r="A492" t="s">
        <v>497</v>
      </c>
      <c r="B492" t="s">
        <v>60</v>
      </c>
      <c r="C492" t="s">
        <v>30</v>
      </c>
      <c r="D492" t="s">
        <v>94</v>
      </c>
      <c r="E492" t="str">
        <f>TRIM(RIGHT(Table1[[#This Row],[Location]],LEN(Table1[[#This Row],[Location]])-FIND(",",Table1[[#This Row],[Location]])))</f>
        <v>Florida</v>
      </c>
      <c r="F492" t="s">
        <v>492</v>
      </c>
      <c r="G492" t="s">
        <v>45</v>
      </c>
      <c r="H492" t="s">
        <v>26</v>
      </c>
      <c r="I492">
        <v>37717</v>
      </c>
      <c r="J492">
        <v>69</v>
      </c>
      <c r="K492">
        <v>26541</v>
      </c>
      <c r="L492">
        <v>35126</v>
      </c>
      <c r="M492">
        <v>5</v>
      </c>
      <c r="N492">
        <v>1725.2713630000001</v>
      </c>
      <c r="O492" s="7">
        <f>IFERROR(Table1[[#This Row],[Clicks]]/Table1[[#This Row],[Impressions]],0)</f>
        <v>1.8294137921891986E-3</v>
      </c>
      <c r="P492" s="5">
        <f>IFERROR(Table1[[#This Row],[Total Conversions]]/Table1[[#This Row],[Clicks]],0)</f>
        <v>7.2463768115942032E-2</v>
      </c>
      <c r="Q492" s="10">
        <f>IFERROR(Table1[[#This Row],[Gross Cost]]/Table1[[#This Row],[Total Conversions]],0)</f>
        <v>345.05427259999999</v>
      </c>
      <c r="R492" s="10">
        <f>IFERROR(Table1[[#This Row],[Gross Cost]]/(Table1[[#This Row],[Impressions]]/1000),0)</f>
        <v>45.742539517989236</v>
      </c>
      <c r="S492" s="5">
        <f>IFERROR(Table1[[#This Row],[Viewable Impressions]]/Table1[[#This Row],[Measurable Impressions]],0)</f>
        <v>0.75559414678585668</v>
      </c>
      <c r="T492" s="10">
        <f>IFERROR(1000*Table1[[#This Row],[Gross Cost]]/Table1[[#This Row],[Viewable Impressions]],0)</f>
        <v>65.004007497833541</v>
      </c>
      <c r="U492" s="10"/>
    </row>
    <row r="493" spans="1:21" x14ac:dyDescent="0.2">
      <c r="A493" t="s">
        <v>369</v>
      </c>
      <c r="B493" t="s">
        <v>14</v>
      </c>
      <c r="C493" t="s">
        <v>22</v>
      </c>
      <c r="D493" t="s">
        <v>28</v>
      </c>
      <c r="E493" t="str">
        <f>TRIM(RIGHT(Table1[[#This Row],[Location]],LEN(Table1[[#This Row],[Location]])-FIND(",",Table1[[#This Row],[Location]])))</f>
        <v>California</v>
      </c>
      <c r="F493" t="s">
        <v>364</v>
      </c>
      <c r="G493" t="s">
        <v>18</v>
      </c>
      <c r="H493" t="s">
        <v>51</v>
      </c>
      <c r="I493">
        <v>127090</v>
      </c>
      <c r="J493">
        <v>299</v>
      </c>
      <c r="K493">
        <v>30178</v>
      </c>
      <c r="L493">
        <v>113438</v>
      </c>
      <c r="M493">
        <v>24</v>
      </c>
      <c r="N493">
        <v>5808.9112539999996</v>
      </c>
      <c r="O493" s="7">
        <f>IFERROR(Table1[[#This Row],[Clicks]]/Table1[[#This Row],[Impressions]],0)</f>
        <v>2.3526634668345268E-3</v>
      </c>
      <c r="P493" s="5">
        <f>IFERROR(Table1[[#This Row],[Total Conversions]]/Table1[[#This Row],[Clicks]],0)</f>
        <v>8.0267558528428096E-2</v>
      </c>
      <c r="Q493" s="10">
        <f>IFERROR(Table1[[#This Row],[Gross Cost]]/Table1[[#This Row],[Total Conversions]],0)</f>
        <v>242.03796891666664</v>
      </c>
      <c r="R493" s="10">
        <f>IFERROR(Table1[[#This Row],[Gross Cost]]/(Table1[[#This Row],[Impressions]]/1000),0)</f>
        <v>45.707067857423866</v>
      </c>
      <c r="S493" s="5">
        <f>IFERROR(Table1[[#This Row],[Viewable Impressions]]/Table1[[#This Row],[Measurable Impressions]],0)</f>
        <v>0.26603078333539026</v>
      </c>
      <c r="T493" s="10">
        <f>IFERROR(1000*Table1[[#This Row],[Gross Cost]]/Table1[[#This Row],[Viewable Impressions]],0)</f>
        <v>192.48827801709854</v>
      </c>
      <c r="U493" s="10"/>
    </row>
    <row r="494" spans="1:21" x14ac:dyDescent="0.2">
      <c r="A494" t="s">
        <v>757</v>
      </c>
      <c r="B494" t="s">
        <v>21</v>
      </c>
      <c r="C494" t="s">
        <v>41</v>
      </c>
      <c r="D494" t="s">
        <v>65</v>
      </c>
      <c r="E494" t="str">
        <f>TRIM(RIGHT(Table1[[#This Row],[Location]],LEN(Table1[[#This Row],[Location]])-FIND(",",Table1[[#This Row],[Location]])))</f>
        <v>Florida</v>
      </c>
      <c r="F494" t="s">
        <v>742</v>
      </c>
      <c r="G494" t="s">
        <v>45</v>
      </c>
      <c r="H494" t="s">
        <v>26</v>
      </c>
      <c r="I494">
        <v>43666</v>
      </c>
      <c r="J494">
        <v>133</v>
      </c>
      <c r="K494">
        <v>18513</v>
      </c>
      <c r="L494">
        <v>40506</v>
      </c>
      <c r="M494">
        <v>18</v>
      </c>
      <c r="N494">
        <v>1980.393834</v>
      </c>
      <c r="O494" s="7">
        <f>IFERROR(Table1[[#This Row],[Clicks]]/Table1[[#This Row],[Impressions]],0)</f>
        <v>3.0458480282141713E-3</v>
      </c>
      <c r="P494" s="5">
        <f>IFERROR(Table1[[#This Row],[Total Conversions]]/Table1[[#This Row],[Clicks]],0)</f>
        <v>0.13533834586466165</v>
      </c>
      <c r="Q494" s="10">
        <f>IFERROR(Table1[[#This Row],[Gross Cost]]/Table1[[#This Row],[Total Conversions]],0)</f>
        <v>110.02187966666666</v>
      </c>
      <c r="R494" s="10">
        <f>IFERROR(Table1[[#This Row],[Gross Cost]]/(Table1[[#This Row],[Impressions]]/1000),0)</f>
        <v>45.353222965236114</v>
      </c>
      <c r="S494" s="5">
        <f>IFERROR(Table1[[#This Row],[Viewable Impressions]]/Table1[[#This Row],[Measurable Impressions]],0)</f>
        <v>0.45704340097763296</v>
      </c>
      <c r="T494" s="10">
        <f>IFERROR(1000*Table1[[#This Row],[Gross Cost]]/Table1[[#This Row],[Viewable Impressions]],0)</f>
        <v>106.97314503321991</v>
      </c>
      <c r="U494" s="10"/>
    </row>
    <row r="495" spans="1:21" x14ac:dyDescent="0.2">
      <c r="A495" t="s">
        <v>562</v>
      </c>
      <c r="B495" t="s">
        <v>14</v>
      </c>
      <c r="C495" t="s">
        <v>41</v>
      </c>
      <c r="D495" t="s">
        <v>28</v>
      </c>
      <c r="E495" t="str">
        <f>TRIM(RIGHT(Table1[[#This Row],[Location]],LEN(Table1[[#This Row],[Location]])-FIND(",",Table1[[#This Row],[Location]])))</f>
        <v>California</v>
      </c>
      <c r="F495" t="s">
        <v>538</v>
      </c>
      <c r="G495" t="s">
        <v>18</v>
      </c>
      <c r="H495" t="s">
        <v>51</v>
      </c>
      <c r="I495">
        <v>32436</v>
      </c>
      <c r="J495">
        <v>56</v>
      </c>
      <c r="K495">
        <v>17531</v>
      </c>
      <c r="L495">
        <v>28429</v>
      </c>
      <c r="M495">
        <v>6</v>
      </c>
      <c r="N495">
        <v>1470.670167</v>
      </c>
      <c r="O495" s="7">
        <f>IFERROR(Table1[[#This Row],[Clicks]]/Table1[[#This Row],[Impressions]],0)</f>
        <v>1.7264767542237022E-3</v>
      </c>
      <c r="P495" s="5">
        <f>IFERROR(Table1[[#This Row],[Total Conversions]]/Table1[[#This Row],[Clicks]],0)</f>
        <v>0.10714285714285714</v>
      </c>
      <c r="Q495" s="10">
        <f>IFERROR(Table1[[#This Row],[Gross Cost]]/Table1[[#This Row],[Total Conversions]],0)</f>
        <v>245.1116945</v>
      </c>
      <c r="R495" s="10">
        <f>IFERROR(Table1[[#This Row],[Gross Cost]]/(Table1[[#This Row],[Impressions]]/1000),0)</f>
        <v>45.340676008139106</v>
      </c>
      <c r="S495" s="5">
        <f>IFERROR(Table1[[#This Row],[Viewable Impressions]]/Table1[[#This Row],[Measurable Impressions]],0)</f>
        <v>0.616659045341025</v>
      </c>
      <c r="T495" s="10">
        <f>IFERROR(1000*Table1[[#This Row],[Gross Cost]]/Table1[[#This Row],[Viewable Impressions]],0)</f>
        <v>83.889690662255433</v>
      </c>
      <c r="U495" s="10"/>
    </row>
    <row r="496" spans="1:21" x14ac:dyDescent="0.2">
      <c r="A496" t="s">
        <v>121</v>
      </c>
      <c r="B496" t="s">
        <v>14</v>
      </c>
      <c r="C496" t="s">
        <v>30</v>
      </c>
      <c r="D496" t="s">
        <v>34</v>
      </c>
      <c r="E496" t="str">
        <f>TRIM(RIGHT(Table1[[#This Row],[Location]],LEN(Table1[[#This Row],[Location]])-FIND(",",Table1[[#This Row],[Location]])))</f>
        <v>Illinois</v>
      </c>
      <c r="F496" t="s">
        <v>114</v>
      </c>
      <c r="G496" t="s">
        <v>18</v>
      </c>
      <c r="H496" t="s">
        <v>51</v>
      </c>
      <c r="I496">
        <v>113420</v>
      </c>
      <c r="J496">
        <v>333</v>
      </c>
      <c r="K496">
        <v>33557</v>
      </c>
      <c r="L496">
        <v>104929</v>
      </c>
      <c r="M496">
        <v>11</v>
      </c>
      <c r="N496">
        <v>5124.4359340000001</v>
      </c>
      <c r="O496" s="7">
        <f>IFERROR(Table1[[#This Row],[Clicks]]/Table1[[#This Row],[Impressions]],0)</f>
        <v>2.9359901251983776E-3</v>
      </c>
      <c r="P496" s="5">
        <f>IFERROR(Table1[[#This Row],[Total Conversions]]/Table1[[#This Row],[Clicks]],0)</f>
        <v>3.3033033033033031E-2</v>
      </c>
      <c r="Q496" s="10">
        <f>IFERROR(Table1[[#This Row],[Gross Cost]]/Table1[[#This Row],[Total Conversions]],0)</f>
        <v>465.85781218181819</v>
      </c>
      <c r="R496" s="10">
        <f>IFERROR(Table1[[#This Row],[Gross Cost]]/(Table1[[#This Row],[Impressions]]/1000),0)</f>
        <v>45.181060959266446</v>
      </c>
      <c r="S496" s="5">
        <f>IFERROR(Table1[[#This Row],[Viewable Impressions]]/Table1[[#This Row],[Measurable Impressions]],0)</f>
        <v>0.31980672645312547</v>
      </c>
      <c r="T496" s="10">
        <f>IFERROR(1000*Table1[[#This Row],[Gross Cost]]/Table1[[#This Row],[Viewable Impressions]],0)</f>
        <v>152.70840462496648</v>
      </c>
      <c r="U496" s="10"/>
    </row>
    <row r="497" spans="1:21" x14ac:dyDescent="0.2">
      <c r="A497" t="s">
        <v>199</v>
      </c>
      <c r="B497" t="s">
        <v>21</v>
      </c>
      <c r="C497" t="s">
        <v>15</v>
      </c>
      <c r="D497" t="s">
        <v>77</v>
      </c>
      <c r="E497" t="str">
        <f>TRIM(RIGHT(Table1[[#This Row],[Location]],LEN(Table1[[#This Row],[Location]])-FIND(",",Table1[[#This Row],[Location]])))</f>
        <v>New York</v>
      </c>
      <c r="F497" t="s">
        <v>196</v>
      </c>
      <c r="G497" t="s">
        <v>160</v>
      </c>
      <c r="H497" t="s">
        <v>26</v>
      </c>
      <c r="I497">
        <v>134847</v>
      </c>
      <c r="J497">
        <v>450</v>
      </c>
      <c r="K497">
        <v>104268</v>
      </c>
      <c r="L497">
        <v>128470</v>
      </c>
      <c r="M497">
        <v>125</v>
      </c>
      <c r="N497">
        <v>6040.5955780000004</v>
      </c>
      <c r="O497" s="7">
        <f>IFERROR(Table1[[#This Row],[Clicks]]/Table1[[#This Row],[Impressions]],0)</f>
        <v>3.337115397450444E-3</v>
      </c>
      <c r="P497" s="5">
        <f>IFERROR(Table1[[#This Row],[Total Conversions]]/Table1[[#This Row],[Clicks]],0)</f>
        <v>0.27777777777777779</v>
      </c>
      <c r="Q497" s="10">
        <f>IFERROR(Table1[[#This Row],[Gross Cost]]/Table1[[#This Row],[Total Conversions]],0)</f>
        <v>48.324764624000004</v>
      </c>
      <c r="R497" s="10">
        <f>IFERROR(Table1[[#This Row],[Gross Cost]]/(Table1[[#This Row],[Impressions]]/1000),0)</f>
        <v>44.795921140255253</v>
      </c>
      <c r="S497" s="5">
        <f>IFERROR(Table1[[#This Row],[Viewable Impressions]]/Table1[[#This Row],[Measurable Impressions]],0)</f>
        <v>0.81161360628940604</v>
      </c>
      <c r="T497" s="10">
        <f>IFERROR(1000*Table1[[#This Row],[Gross Cost]]/Table1[[#This Row],[Viewable Impressions]],0)</f>
        <v>57.933359976215144</v>
      </c>
      <c r="U497" s="10"/>
    </row>
    <row r="498" spans="1:21" x14ac:dyDescent="0.2">
      <c r="A498" t="s">
        <v>124</v>
      </c>
      <c r="B498" t="s">
        <v>21</v>
      </c>
      <c r="C498" t="s">
        <v>30</v>
      </c>
      <c r="D498" t="s">
        <v>125</v>
      </c>
      <c r="E498" t="str">
        <f>TRIM(RIGHT(Table1[[#This Row],[Location]],LEN(Table1[[#This Row],[Location]])-FIND(",",Table1[[#This Row],[Location]])))</f>
        <v>Alabama</v>
      </c>
      <c r="F498" t="s">
        <v>114</v>
      </c>
      <c r="G498" t="s">
        <v>18</v>
      </c>
      <c r="H498" t="s">
        <v>26</v>
      </c>
      <c r="I498">
        <v>65380</v>
      </c>
      <c r="J498">
        <v>208</v>
      </c>
      <c r="K498">
        <v>30039</v>
      </c>
      <c r="L498">
        <v>60482</v>
      </c>
      <c r="M498">
        <v>5</v>
      </c>
      <c r="N498">
        <v>2905.8841619999998</v>
      </c>
      <c r="O498" s="7">
        <f>IFERROR(Table1[[#This Row],[Clicks]]/Table1[[#This Row],[Impressions]],0)</f>
        <v>3.1814010400734167E-3</v>
      </c>
      <c r="P498" s="5">
        <f>IFERROR(Table1[[#This Row],[Total Conversions]]/Table1[[#This Row],[Clicks]],0)</f>
        <v>2.403846153846154E-2</v>
      </c>
      <c r="Q498" s="10">
        <f>IFERROR(Table1[[#This Row],[Gross Cost]]/Table1[[#This Row],[Total Conversions]],0)</f>
        <v>581.17683239999997</v>
      </c>
      <c r="R498" s="10">
        <f>IFERROR(Table1[[#This Row],[Gross Cost]]/(Table1[[#This Row],[Impressions]]/1000),0)</f>
        <v>44.446071612113798</v>
      </c>
      <c r="S498" s="5">
        <f>IFERROR(Table1[[#This Row],[Viewable Impressions]]/Table1[[#This Row],[Measurable Impressions]],0)</f>
        <v>0.49666016335438645</v>
      </c>
      <c r="T498" s="10">
        <f>IFERROR(1000*Table1[[#This Row],[Gross Cost]]/Table1[[#This Row],[Viewable Impressions]],0)</f>
        <v>96.737047238589838</v>
      </c>
      <c r="U498" s="10"/>
    </row>
    <row r="499" spans="1:21" x14ac:dyDescent="0.2">
      <c r="A499" t="s">
        <v>117</v>
      </c>
      <c r="B499" t="s">
        <v>21</v>
      </c>
      <c r="C499" t="s">
        <v>41</v>
      </c>
      <c r="D499" t="s">
        <v>83</v>
      </c>
      <c r="E499" t="str">
        <f>TRIM(RIGHT(Table1[[#This Row],[Location]],LEN(Table1[[#This Row],[Location]])-FIND(",",Table1[[#This Row],[Location]])))</f>
        <v>Florida</v>
      </c>
      <c r="F499" t="s">
        <v>114</v>
      </c>
      <c r="G499" t="s">
        <v>35</v>
      </c>
      <c r="H499" t="s">
        <v>26</v>
      </c>
      <c r="I499">
        <v>149618</v>
      </c>
      <c r="J499">
        <v>260</v>
      </c>
      <c r="K499">
        <v>126031</v>
      </c>
      <c r="L499">
        <v>140596</v>
      </c>
      <c r="M499">
        <v>26</v>
      </c>
      <c r="N499">
        <v>6605.5861580000001</v>
      </c>
      <c r="O499" s="7">
        <f>IFERROR(Table1[[#This Row],[Clicks]]/Table1[[#This Row],[Impressions]],0)</f>
        <v>1.7377588258097288E-3</v>
      </c>
      <c r="P499" s="5">
        <f>IFERROR(Table1[[#This Row],[Total Conversions]]/Table1[[#This Row],[Clicks]],0)</f>
        <v>0.1</v>
      </c>
      <c r="Q499" s="10">
        <f>IFERROR(Table1[[#This Row],[Gross Cost]]/Table1[[#This Row],[Total Conversions]],0)</f>
        <v>254.06100607692309</v>
      </c>
      <c r="R499" s="10">
        <f>IFERROR(Table1[[#This Row],[Gross Cost]]/(Table1[[#This Row],[Impressions]]/1000),0)</f>
        <v>44.149675560427227</v>
      </c>
      <c r="S499" s="5">
        <f>IFERROR(Table1[[#This Row],[Viewable Impressions]]/Table1[[#This Row],[Measurable Impressions]],0)</f>
        <v>0.89640530313806932</v>
      </c>
      <c r="T499" s="10">
        <f>IFERROR(1000*Table1[[#This Row],[Gross Cost]]/Table1[[#This Row],[Viewable Impressions]],0)</f>
        <v>52.41239185597194</v>
      </c>
      <c r="U499" s="10"/>
    </row>
    <row r="500" spans="1:21" x14ac:dyDescent="0.2">
      <c r="A500" t="s">
        <v>480</v>
      </c>
      <c r="B500" t="s">
        <v>21</v>
      </c>
      <c r="C500" t="s">
        <v>22</v>
      </c>
      <c r="D500" t="s">
        <v>34</v>
      </c>
      <c r="E500" t="str">
        <f>TRIM(RIGHT(Table1[[#This Row],[Location]],LEN(Table1[[#This Row],[Location]])-FIND(",",Table1[[#This Row],[Location]])))</f>
        <v>Illinois</v>
      </c>
      <c r="F500" t="s">
        <v>479</v>
      </c>
      <c r="G500" t="s">
        <v>116</v>
      </c>
      <c r="H500" t="s">
        <v>26</v>
      </c>
      <c r="I500">
        <v>115673</v>
      </c>
      <c r="J500">
        <v>410</v>
      </c>
      <c r="K500">
        <v>52475</v>
      </c>
      <c r="L500">
        <v>97166</v>
      </c>
      <c r="M500">
        <v>22</v>
      </c>
      <c r="N500">
        <v>5045.9379300000001</v>
      </c>
      <c r="O500" s="7">
        <f>IFERROR(Table1[[#This Row],[Clicks]]/Table1[[#This Row],[Impressions]],0)</f>
        <v>3.5444745100412368E-3</v>
      </c>
      <c r="P500" s="5">
        <f>IFERROR(Table1[[#This Row],[Total Conversions]]/Table1[[#This Row],[Clicks]],0)</f>
        <v>5.3658536585365853E-2</v>
      </c>
      <c r="Q500" s="10">
        <f>IFERROR(Table1[[#This Row],[Gross Cost]]/Table1[[#This Row],[Total Conversions]],0)</f>
        <v>229.360815</v>
      </c>
      <c r="R500" s="10">
        <f>IFERROR(Table1[[#This Row],[Gross Cost]]/(Table1[[#This Row],[Impressions]]/1000),0)</f>
        <v>43.622435053988397</v>
      </c>
      <c r="S500" s="5">
        <f>IFERROR(Table1[[#This Row],[Viewable Impressions]]/Table1[[#This Row],[Measurable Impressions]],0)</f>
        <v>0.54005516332873638</v>
      </c>
      <c r="T500" s="10">
        <f>IFERROR(1000*Table1[[#This Row],[Gross Cost]]/Table1[[#This Row],[Viewable Impressions]],0)</f>
        <v>96.158893377798947</v>
      </c>
      <c r="U500" s="10"/>
    </row>
    <row r="501" spans="1:21" x14ac:dyDescent="0.2">
      <c r="A501" t="s">
        <v>798</v>
      </c>
      <c r="B501" t="s">
        <v>14</v>
      </c>
      <c r="C501" t="s">
        <v>41</v>
      </c>
      <c r="D501" t="s">
        <v>172</v>
      </c>
      <c r="E501" t="str">
        <f>TRIM(RIGHT(Table1[[#This Row],[Location]],LEN(Table1[[#This Row],[Location]])-FIND(",",Table1[[#This Row],[Location]])))</f>
        <v>Tennessee</v>
      </c>
      <c r="F501" t="s">
        <v>794</v>
      </c>
      <c r="G501" t="s">
        <v>190</v>
      </c>
      <c r="H501" t="s">
        <v>51</v>
      </c>
      <c r="I501">
        <v>35043</v>
      </c>
      <c r="J501">
        <v>140</v>
      </c>
      <c r="K501">
        <v>20942</v>
      </c>
      <c r="L501">
        <v>33479</v>
      </c>
      <c r="M501">
        <v>24</v>
      </c>
      <c r="N501">
        <v>1527.9762800000001</v>
      </c>
      <c r="O501" s="7">
        <f>IFERROR(Table1[[#This Row],[Clicks]]/Table1[[#This Row],[Impressions]],0)</f>
        <v>3.9950917444282735E-3</v>
      </c>
      <c r="P501" s="5">
        <f>IFERROR(Table1[[#This Row],[Total Conversions]]/Table1[[#This Row],[Clicks]],0)</f>
        <v>0.17142857142857143</v>
      </c>
      <c r="Q501" s="10">
        <f>IFERROR(Table1[[#This Row],[Gross Cost]]/Table1[[#This Row],[Total Conversions]],0)</f>
        <v>63.665678333333339</v>
      </c>
      <c r="R501" s="10">
        <f>IFERROR(Table1[[#This Row],[Gross Cost]]/(Table1[[#This Row],[Impressions]]/1000),0)</f>
        <v>43.602895870787322</v>
      </c>
      <c r="S501" s="5">
        <f>IFERROR(Table1[[#This Row],[Viewable Impressions]]/Table1[[#This Row],[Measurable Impressions]],0)</f>
        <v>0.62552644941605184</v>
      </c>
      <c r="T501" s="10">
        <f>IFERROR(1000*Table1[[#This Row],[Gross Cost]]/Table1[[#This Row],[Viewable Impressions]],0)</f>
        <v>72.962290134657621</v>
      </c>
      <c r="U501" s="10"/>
    </row>
    <row r="502" spans="1:21" x14ac:dyDescent="0.2">
      <c r="A502" t="s">
        <v>913</v>
      </c>
      <c r="B502" t="s">
        <v>14</v>
      </c>
      <c r="C502" t="s">
        <v>41</v>
      </c>
      <c r="D502" t="s">
        <v>125</v>
      </c>
      <c r="E502" t="str">
        <f>TRIM(RIGHT(Table1[[#This Row],[Location]],LEN(Table1[[#This Row],[Location]])-FIND(",",Table1[[#This Row],[Location]])))</f>
        <v>Alabama</v>
      </c>
      <c r="F502" t="s">
        <v>911</v>
      </c>
      <c r="G502" t="s">
        <v>18</v>
      </c>
      <c r="H502" t="s">
        <v>51</v>
      </c>
      <c r="I502">
        <v>38070</v>
      </c>
      <c r="J502">
        <v>146</v>
      </c>
      <c r="K502">
        <v>15253</v>
      </c>
      <c r="L502">
        <v>35453</v>
      </c>
      <c r="M502">
        <v>8</v>
      </c>
      <c r="N502">
        <v>1653.510777</v>
      </c>
      <c r="O502" s="7">
        <f>IFERROR(Table1[[#This Row],[Clicks]]/Table1[[#This Row],[Impressions]],0)</f>
        <v>3.8350407144733386E-3</v>
      </c>
      <c r="P502" s="5">
        <f>IFERROR(Table1[[#This Row],[Total Conversions]]/Table1[[#This Row],[Clicks]],0)</f>
        <v>5.4794520547945202E-2</v>
      </c>
      <c r="Q502" s="10">
        <f>IFERROR(Table1[[#This Row],[Gross Cost]]/Table1[[#This Row],[Total Conversions]],0)</f>
        <v>206.688847125</v>
      </c>
      <c r="R502" s="10">
        <f>IFERROR(Table1[[#This Row],[Gross Cost]]/(Table1[[#This Row],[Impressions]]/1000),0)</f>
        <v>43.43343254531127</v>
      </c>
      <c r="S502" s="5">
        <f>IFERROR(Table1[[#This Row],[Viewable Impressions]]/Table1[[#This Row],[Measurable Impressions]],0)</f>
        <v>0.43023157419682395</v>
      </c>
      <c r="T502" s="10">
        <f>IFERROR(1000*Table1[[#This Row],[Gross Cost]]/Table1[[#This Row],[Viewable Impressions]],0)</f>
        <v>108.4056105028519</v>
      </c>
      <c r="U502" s="10"/>
    </row>
    <row r="503" spans="1:21" x14ac:dyDescent="0.2">
      <c r="A503" t="s">
        <v>686</v>
      </c>
      <c r="B503" t="s">
        <v>60</v>
      </c>
      <c r="C503" t="s">
        <v>30</v>
      </c>
      <c r="D503" t="s">
        <v>54</v>
      </c>
      <c r="E503" t="str">
        <f>TRIM(RIGHT(Table1[[#This Row],[Location]],LEN(Table1[[#This Row],[Location]])-FIND(",",Table1[[#This Row],[Location]])))</f>
        <v>Florida</v>
      </c>
      <c r="F503" t="s">
        <v>685</v>
      </c>
      <c r="G503" t="s">
        <v>32</v>
      </c>
      <c r="H503" t="s">
        <v>26</v>
      </c>
      <c r="I503">
        <v>140359</v>
      </c>
      <c r="J503">
        <v>352</v>
      </c>
      <c r="K503">
        <v>76130</v>
      </c>
      <c r="L503">
        <v>133578</v>
      </c>
      <c r="M503">
        <v>26</v>
      </c>
      <c r="N503">
        <v>6094.6667989999996</v>
      </c>
      <c r="O503" s="7">
        <f>IFERROR(Table1[[#This Row],[Clicks]]/Table1[[#This Row],[Impressions]],0)</f>
        <v>2.507854857900099E-3</v>
      </c>
      <c r="P503" s="5">
        <f>IFERROR(Table1[[#This Row],[Total Conversions]]/Table1[[#This Row],[Clicks]],0)</f>
        <v>7.3863636363636367E-2</v>
      </c>
      <c r="Q503" s="10">
        <f>IFERROR(Table1[[#This Row],[Gross Cost]]/Table1[[#This Row],[Total Conversions]],0)</f>
        <v>234.41026149999999</v>
      </c>
      <c r="R503" s="10">
        <f>IFERROR(Table1[[#This Row],[Gross Cost]]/(Table1[[#This Row],[Impressions]]/1000),0)</f>
        <v>43.42198789532555</v>
      </c>
      <c r="S503" s="5">
        <f>IFERROR(Table1[[#This Row],[Viewable Impressions]]/Table1[[#This Row],[Measurable Impressions]],0)</f>
        <v>0.56992917995478298</v>
      </c>
      <c r="T503" s="10">
        <f>IFERROR(1000*Table1[[#This Row],[Gross Cost]]/Table1[[#This Row],[Viewable Impressions]],0)</f>
        <v>80.056046223564948</v>
      </c>
      <c r="U503" s="10"/>
    </row>
    <row r="504" spans="1:21" x14ac:dyDescent="0.2">
      <c r="A504" t="s">
        <v>371</v>
      </c>
      <c r="B504" t="s">
        <v>21</v>
      </c>
      <c r="C504" t="s">
        <v>41</v>
      </c>
      <c r="D504" t="s">
        <v>28</v>
      </c>
      <c r="E504" t="str">
        <f>TRIM(RIGHT(Table1[[#This Row],[Location]],LEN(Table1[[#This Row],[Location]])-FIND(",",Table1[[#This Row],[Location]])))</f>
        <v>California</v>
      </c>
      <c r="F504" t="s">
        <v>364</v>
      </c>
      <c r="G504" t="s">
        <v>190</v>
      </c>
      <c r="H504" t="s">
        <v>26</v>
      </c>
      <c r="I504">
        <v>51056</v>
      </c>
      <c r="J504">
        <v>120</v>
      </c>
      <c r="K504">
        <v>24672</v>
      </c>
      <c r="L504">
        <v>45563</v>
      </c>
      <c r="M504">
        <v>4</v>
      </c>
      <c r="N504">
        <v>2215.6318449999999</v>
      </c>
      <c r="O504" s="7">
        <f>IFERROR(Table1[[#This Row],[Clicks]]/Table1[[#This Row],[Impressions]],0)</f>
        <v>2.3503603885929175E-3</v>
      </c>
      <c r="P504" s="5">
        <f>IFERROR(Table1[[#This Row],[Total Conversions]]/Table1[[#This Row],[Clicks]],0)</f>
        <v>3.3333333333333333E-2</v>
      </c>
      <c r="Q504" s="10">
        <f>IFERROR(Table1[[#This Row],[Gross Cost]]/Table1[[#This Row],[Total Conversions]],0)</f>
        <v>553.90796124999997</v>
      </c>
      <c r="R504" s="10">
        <f>IFERROR(Table1[[#This Row],[Gross Cost]]/(Table1[[#This Row],[Impressions]]/1000),0)</f>
        <v>43.396111034942024</v>
      </c>
      <c r="S504" s="5">
        <f>IFERROR(Table1[[#This Row],[Viewable Impressions]]/Table1[[#This Row],[Measurable Impressions]],0)</f>
        <v>0.54149200008779053</v>
      </c>
      <c r="T504" s="10">
        <f>IFERROR(1000*Table1[[#This Row],[Gross Cost]]/Table1[[#This Row],[Viewable Impressions]],0)</f>
        <v>89.803495663099866</v>
      </c>
      <c r="U504" s="10"/>
    </row>
    <row r="505" spans="1:21" x14ac:dyDescent="0.2">
      <c r="A505" t="s">
        <v>574</v>
      </c>
      <c r="B505" t="s">
        <v>21</v>
      </c>
      <c r="C505" t="s">
        <v>22</v>
      </c>
      <c r="D505" t="s">
        <v>213</v>
      </c>
      <c r="E505" t="str">
        <f>TRIM(RIGHT(Table1[[#This Row],[Location]],LEN(Table1[[#This Row],[Location]])-FIND(",",Table1[[#This Row],[Location]])))</f>
        <v>South Carolina</v>
      </c>
      <c r="F505" t="s">
        <v>575</v>
      </c>
      <c r="G505" t="s">
        <v>49</v>
      </c>
      <c r="H505" t="s">
        <v>26</v>
      </c>
      <c r="I505">
        <v>117879</v>
      </c>
      <c r="J505">
        <v>390</v>
      </c>
      <c r="K505">
        <v>52098</v>
      </c>
      <c r="L505">
        <v>86127</v>
      </c>
      <c r="M505">
        <v>1</v>
      </c>
      <c r="N505">
        <v>5102.7067290000005</v>
      </c>
      <c r="O505" s="7">
        <f>IFERROR(Table1[[#This Row],[Clicks]]/Table1[[#This Row],[Impressions]],0)</f>
        <v>3.3084773369302422E-3</v>
      </c>
      <c r="P505" s="5">
        <f>IFERROR(Table1[[#This Row],[Total Conversions]]/Table1[[#This Row],[Clicks]],0)</f>
        <v>2.5641025641025641E-3</v>
      </c>
      <c r="Q505" s="10">
        <f>IFERROR(Table1[[#This Row],[Gross Cost]]/Table1[[#This Row],[Total Conversions]],0)</f>
        <v>5102.7067290000005</v>
      </c>
      <c r="R505" s="10">
        <f>IFERROR(Table1[[#This Row],[Gross Cost]]/(Table1[[#This Row],[Impressions]]/1000),0)</f>
        <v>43.287665563840889</v>
      </c>
      <c r="S505" s="5">
        <f>IFERROR(Table1[[#This Row],[Viewable Impressions]]/Table1[[#This Row],[Measurable Impressions]],0)</f>
        <v>0.60489741892786231</v>
      </c>
      <c r="T505" s="10">
        <f>IFERROR(1000*Table1[[#This Row],[Gross Cost]]/Table1[[#This Row],[Viewable Impressions]],0)</f>
        <v>97.94438805712312</v>
      </c>
      <c r="U505" s="10"/>
    </row>
    <row r="506" spans="1:21" x14ac:dyDescent="0.2">
      <c r="A506" t="s">
        <v>728</v>
      </c>
      <c r="B506" t="s">
        <v>21</v>
      </c>
      <c r="C506" t="s">
        <v>15</v>
      </c>
      <c r="D506" t="s">
        <v>34</v>
      </c>
      <c r="E506" t="str">
        <f>TRIM(RIGHT(Table1[[#This Row],[Location]],LEN(Table1[[#This Row],[Location]])-FIND(",",Table1[[#This Row],[Location]])))</f>
        <v>Illinois</v>
      </c>
      <c r="F506" t="s">
        <v>729</v>
      </c>
      <c r="G506" t="s">
        <v>326</v>
      </c>
      <c r="H506" t="s">
        <v>26</v>
      </c>
      <c r="I506">
        <v>56927</v>
      </c>
      <c r="J506">
        <v>165</v>
      </c>
      <c r="K506">
        <v>20980</v>
      </c>
      <c r="L506">
        <v>55050</v>
      </c>
      <c r="M506">
        <v>5</v>
      </c>
      <c r="N506">
        <v>2463.8219170000002</v>
      </c>
      <c r="O506" s="7">
        <f>IFERROR(Table1[[#This Row],[Clicks]]/Table1[[#This Row],[Impressions]],0)</f>
        <v>2.8984488906845609E-3</v>
      </c>
      <c r="P506" s="5">
        <f>IFERROR(Table1[[#This Row],[Total Conversions]]/Table1[[#This Row],[Clicks]],0)</f>
        <v>3.0303030303030304E-2</v>
      </c>
      <c r="Q506" s="10">
        <f>IFERROR(Table1[[#This Row],[Gross Cost]]/Table1[[#This Row],[Total Conversions]],0)</f>
        <v>492.76438340000004</v>
      </c>
      <c r="R506" s="10">
        <f>IFERROR(Table1[[#This Row],[Gross Cost]]/(Table1[[#This Row],[Impressions]]/1000),0)</f>
        <v>43.2803751646846</v>
      </c>
      <c r="S506" s="5">
        <f>IFERROR(Table1[[#This Row],[Viewable Impressions]]/Table1[[#This Row],[Measurable Impressions]],0)</f>
        <v>0.38110808356039966</v>
      </c>
      <c r="T506" s="10">
        <f>IFERROR(1000*Table1[[#This Row],[Gross Cost]]/Table1[[#This Row],[Viewable Impressions]],0)</f>
        <v>117.43669766444235</v>
      </c>
      <c r="U506" s="10"/>
    </row>
    <row r="507" spans="1:21" x14ac:dyDescent="0.2">
      <c r="A507" t="s">
        <v>700</v>
      </c>
      <c r="B507" t="s">
        <v>21</v>
      </c>
      <c r="C507" t="s">
        <v>22</v>
      </c>
      <c r="D507" t="s">
        <v>38</v>
      </c>
      <c r="E507" t="str">
        <f>TRIM(RIGHT(Table1[[#This Row],[Location]],LEN(Table1[[#This Row],[Location]])-FIND(",",Table1[[#This Row],[Location]])))</f>
        <v>Tennessee</v>
      </c>
      <c r="F507" t="s">
        <v>701</v>
      </c>
      <c r="G507" t="s">
        <v>32</v>
      </c>
      <c r="H507" t="s">
        <v>26</v>
      </c>
      <c r="I507">
        <v>183230</v>
      </c>
      <c r="J507">
        <v>666</v>
      </c>
      <c r="K507">
        <v>155260</v>
      </c>
      <c r="L507">
        <v>169583</v>
      </c>
      <c r="M507">
        <v>34</v>
      </c>
      <c r="N507">
        <v>7863.469709</v>
      </c>
      <c r="O507" s="7">
        <f>IFERROR(Table1[[#This Row],[Clicks]]/Table1[[#This Row],[Impressions]],0)</f>
        <v>3.6347759646346125E-3</v>
      </c>
      <c r="P507" s="5">
        <f>IFERROR(Table1[[#This Row],[Total Conversions]]/Table1[[#This Row],[Clicks]],0)</f>
        <v>5.1051051051051052E-2</v>
      </c>
      <c r="Q507" s="10">
        <f>IFERROR(Table1[[#This Row],[Gross Cost]]/Table1[[#This Row],[Total Conversions]],0)</f>
        <v>231.27852085294117</v>
      </c>
      <c r="R507" s="10">
        <f>IFERROR(Table1[[#This Row],[Gross Cost]]/(Table1[[#This Row],[Impressions]]/1000),0)</f>
        <v>42.915841887245541</v>
      </c>
      <c r="S507" s="5">
        <f>IFERROR(Table1[[#This Row],[Viewable Impressions]]/Table1[[#This Row],[Measurable Impressions]],0)</f>
        <v>0.91553988312507739</v>
      </c>
      <c r="T507" s="10">
        <f>IFERROR(1000*Table1[[#This Row],[Gross Cost]]/Table1[[#This Row],[Viewable Impressions]],0)</f>
        <v>50.647106202499032</v>
      </c>
      <c r="U507" s="10"/>
    </row>
    <row r="508" spans="1:21" x14ac:dyDescent="0.2">
      <c r="A508" t="s">
        <v>766</v>
      </c>
      <c r="B508" t="s">
        <v>21</v>
      </c>
      <c r="C508" t="s">
        <v>15</v>
      </c>
      <c r="D508" t="s">
        <v>16</v>
      </c>
      <c r="E508" t="str">
        <f>TRIM(RIGHT(Table1[[#This Row],[Location]],LEN(Table1[[#This Row],[Location]])-FIND(",",Table1[[#This Row],[Location]])))</f>
        <v>California</v>
      </c>
      <c r="F508" t="s">
        <v>767</v>
      </c>
      <c r="G508" t="s">
        <v>47</v>
      </c>
      <c r="H508" t="s">
        <v>26</v>
      </c>
      <c r="I508">
        <v>37617</v>
      </c>
      <c r="J508">
        <v>85</v>
      </c>
      <c r="K508">
        <v>5092</v>
      </c>
      <c r="L508">
        <v>34373</v>
      </c>
      <c r="M508">
        <v>6</v>
      </c>
      <c r="N508">
        <v>1608.8829519999999</v>
      </c>
      <c r="O508" s="7">
        <f>IFERROR(Table1[[#This Row],[Clicks]]/Table1[[#This Row],[Impressions]],0)</f>
        <v>2.2596166626791077E-3</v>
      </c>
      <c r="P508" s="5">
        <f>IFERROR(Table1[[#This Row],[Total Conversions]]/Table1[[#This Row],[Clicks]],0)</f>
        <v>7.0588235294117646E-2</v>
      </c>
      <c r="Q508" s="10">
        <f>IFERROR(Table1[[#This Row],[Gross Cost]]/Table1[[#This Row],[Total Conversions]],0)</f>
        <v>268.14715866666666</v>
      </c>
      <c r="R508" s="10">
        <f>IFERROR(Table1[[#This Row],[Gross Cost]]/(Table1[[#This Row],[Impressions]]/1000),0)</f>
        <v>42.770102666347661</v>
      </c>
      <c r="S508" s="5">
        <f>IFERROR(Table1[[#This Row],[Viewable Impressions]]/Table1[[#This Row],[Measurable Impressions]],0)</f>
        <v>0.1481395281179996</v>
      </c>
      <c r="T508" s="10">
        <f>IFERROR(1000*Table1[[#This Row],[Gross Cost]]/Table1[[#This Row],[Viewable Impressions]],0)</f>
        <v>315.96287352710135</v>
      </c>
      <c r="U508" s="10"/>
    </row>
    <row r="509" spans="1:21" x14ac:dyDescent="0.2">
      <c r="A509" t="s">
        <v>419</v>
      </c>
      <c r="B509" t="s">
        <v>21</v>
      </c>
      <c r="C509" t="s">
        <v>15</v>
      </c>
      <c r="D509" t="s">
        <v>77</v>
      </c>
      <c r="E509" t="str">
        <f>TRIM(RIGHT(Table1[[#This Row],[Location]],LEN(Table1[[#This Row],[Location]])-FIND(",",Table1[[#This Row],[Location]])))</f>
        <v>New York</v>
      </c>
      <c r="F509" t="s">
        <v>409</v>
      </c>
      <c r="G509" t="s">
        <v>230</v>
      </c>
      <c r="H509" t="s">
        <v>26</v>
      </c>
      <c r="I509">
        <v>34959</v>
      </c>
      <c r="J509">
        <v>122</v>
      </c>
      <c r="K509">
        <v>17511</v>
      </c>
      <c r="L509">
        <v>31974</v>
      </c>
      <c r="M509">
        <v>5</v>
      </c>
      <c r="N509">
        <v>1477.4933570000001</v>
      </c>
      <c r="O509" s="7">
        <f>IFERROR(Table1[[#This Row],[Clicks]]/Table1[[#This Row],[Impressions]],0)</f>
        <v>3.4898023398838639E-3</v>
      </c>
      <c r="P509" s="5">
        <f>IFERROR(Table1[[#This Row],[Total Conversions]]/Table1[[#This Row],[Clicks]],0)</f>
        <v>4.0983606557377046E-2</v>
      </c>
      <c r="Q509" s="10">
        <f>IFERROR(Table1[[#This Row],[Gross Cost]]/Table1[[#This Row],[Total Conversions]],0)</f>
        <v>295.49867140000003</v>
      </c>
      <c r="R509" s="10">
        <f>IFERROR(Table1[[#This Row],[Gross Cost]]/(Table1[[#This Row],[Impressions]]/1000),0)</f>
        <v>42.263604708372661</v>
      </c>
      <c r="S509" s="5">
        <f>IFERROR(Table1[[#This Row],[Viewable Impressions]]/Table1[[#This Row],[Measurable Impressions]],0)</f>
        <v>0.54766372677800712</v>
      </c>
      <c r="T509" s="10">
        <f>IFERROR(1000*Table1[[#This Row],[Gross Cost]]/Table1[[#This Row],[Viewable Impressions]],0)</f>
        <v>84.375156016218384</v>
      </c>
      <c r="U509" s="10"/>
    </row>
    <row r="510" spans="1:21" x14ac:dyDescent="0.2">
      <c r="A510" t="s">
        <v>971</v>
      </c>
      <c r="B510" t="s">
        <v>14</v>
      </c>
      <c r="C510" t="s">
        <v>15</v>
      </c>
      <c r="D510" t="s">
        <v>38</v>
      </c>
      <c r="E510" t="str">
        <f>TRIM(RIGHT(Table1[[#This Row],[Location]],LEN(Table1[[#This Row],[Location]])-FIND(",",Table1[[#This Row],[Location]])))</f>
        <v>Tennessee</v>
      </c>
      <c r="F510" t="s">
        <v>968</v>
      </c>
      <c r="G510" t="s">
        <v>45</v>
      </c>
      <c r="H510" t="s">
        <v>26</v>
      </c>
      <c r="I510">
        <v>37355</v>
      </c>
      <c r="J510">
        <v>145</v>
      </c>
      <c r="K510">
        <v>17138</v>
      </c>
      <c r="L510">
        <v>35689</v>
      </c>
      <c r="M510">
        <v>3</v>
      </c>
      <c r="N510">
        <v>1577.366086</v>
      </c>
      <c r="O510" s="7">
        <f>IFERROR(Table1[[#This Row],[Clicks]]/Table1[[#This Row],[Impressions]],0)</f>
        <v>3.8816758131441573E-3</v>
      </c>
      <c r="P510" s="5">
        <f>IFERROR(Table1[[#This Row],[Total Conversions]]/Table1[[#This Row],[Clicks]],0)</f>
        <v>2.0689655172413793E-2</v>
      </c>
      <c r="Q510" s="10">
        <f>IFERROR(Table1[[#This Row],[Gross Cost]]/Table1[[#This Row],[Total Conversions]],0)</f>
        <v>525.78869533333329</v>
      </c>
      <c r="R510" s="10">
        <f>IFERROR(Table1[[#This Row],[Gross Cost]]/(Table1[[#This Row],[Impressions]]/1000),0)</f>
        <v>42.226370927586672</v>
      </c>
      <c r="S510" s="5">
        <f>IFERROR(Table1[[#This Row],[Viewable Impressions]]/Table1[[#This Row],[Measurable Impressions]],0)</f>
        <v>0.48020398442097006</v>
      </c>
      <c r="T510" s="10">
        <f>IFERROR(1000*Table1[[#This Row],[Gross Cost]]/Table1[[#This Row],[Viewable Impressions]],0)</f>
        <v>92.039099428171312</v>
      </c>
      <c r="U510" s="10"/>
    </row>
    <row r="511" spans="1:21" x14ac:dyDescent="0.2">
      <c r="A511" t="s">
        <v>244</v>
      </c>
      <c r="B511" t="s">
        <v>21</v>
      </c>
      <c r="C511" t="s">
        <v>30</v>
      </c>
      <c r="D511" t="s">
        <v>34</v>
      </c>
      <c r="E511" t="str">
        <f>TRIM(RIGHT(Table1[[#This Row],[Location]],LEN(Table1[[#This Row],[Location]])-FIND(",",Table1[[#This Row],[Location]])))</f>
        <v>Illinois</v>
      </c>
      <c r="F511" t="s">
        <v>241</v>
      </c>
      <c r="G511" t="s">
        <v>116</v>
      </c>
      <c r="H511" t="s">
        <v>26</v>
      </c>
      <c r="I511">
        <v>116926</v>
      </c>
      <c r="J511">
        <v>321</v>
      </c>
      <c r="K511">
        <v>69132</v>
      </c>
      <c r="L511">
        <v>111957</v>
      </c>
      <c r="M511">
        <v>22</v>
      </c>
      <c r="N511">
        <v>4918.0409820000004</v>
      </c>
      <c r="O511" s="7">
        <f>IFERROR(Table1[[#This Row],[Clicks]]/Table1[[#This Row],[Impressions]],0)</f>
        <v>2.7453261036895129E-3</v>
      </c>
      <c r="P511" s="5">
        <f>IFERROR(Table1[[#This Row],[Total Conversions]]/Table1[[#This Row],[Clicks]],0)</f>
        <v>6.8535825545171333E-2</v>
      </c>
      <c r="Q511" s="10">
        <f>IFERROR(Table1[[#This Row],[Gross Cost]]/Table1[[#This Row],[Total Conversions]],0)</f>
        <v>223.54731736363638</v>
      </c>
      <c r="R511" s="10">
        <f>IFERROR(Table1[[#This Row],[Gross Cost]]/(Table1[[#This Row],[Impressions]]/1000),0)</f>
        <v>42.061141080683512</v>
      </c>
      <c r="S511" s="5">
        <f>IFERROR(Table1[[#This Row],[Viewable Impressions]]/Table1[[#This Row],[Measurable Impressions]],0)</f>
        <v>0.61748707092901745</v>
      </c>
      <c r="T511" s="10">
        <f>IFERROR(1000*Table1[[#This Row],[Gross Cost]]/Table1[[#This Row],[Viewable Impressions]],0)</f>
        <v>71.139862610657886</v>
      </c>
      <c r="U511" s="10"/>
    </row>
    <row r="512" spans="1:21" x14ac:dyDescent="0.2">
      <c r="A512" t="s">
        <v>756</v>
      </c>
      <c r="B512" t="s">
        <v>21</v>
      </c>
      <c r="C512" t="s">
        <v>15</v>
      </c>
      <c r="D512" t="s">
        <v>34</v>
      </c>
      <c r="E512" t="str">
        <f>TRIM(RIGHT(Table1[[#This Row],[Location]],LEN(Table1[[#This Row],[Location]])-FIND(",",Table1[[#This Row],[Location]])))</f>
        <v>Illinois</v>
      </c>
      <c r="F512" t="s">
        <v>742</v>
      </c>
      <c r="G512" t="s">
        <v>35</v>
      </c>
      <c r="H512" t="s">
        <v>26</v>
      </c>
      <c r="I512">
        <v>51515</v>
      </c>
      <c r="J512">
        <v>144</v>
      </c>
      <c r="K512">
        <v>18304</v>
      </c>
      <c r="L512">
        <v>44891</v>
      </c>
      <c r="M512">
        <v>14</v>
      </c>
      <c r="N512">
        <v>2160.3073250000002</v>
      </c>
      <c r="O512" s="7">
        <f>IFERROR(Table1[[#This Row],[Clicks]]/Table1[[#This Row],[Impressions]],0)</f>
        <v>2.795302339124527E-3</v>
      </c>
      <c r="P512" s="5">
        <f>IFERROR(Table1[[#This Row],[Total Conversions]]/Table1[[#This Row],[Clicks]],0)</f>
        <v>9.7222222222222224E-2</v>
      </c>
      <c r="Q512" s="10">
        <f>IFERROR(Table1[[#This Row],[Gross Cost]]/Table1[[#This Row],[Total Conversions]],0)</f>
        <v>154.3076660714286</v>
      </c>
      <c r="R512" s="10">
        <f>IFERROR(Table1[[#This Row],[Gross Cost]]/(Table1[[#This Row],[Impressions]]/1000),0)</f>
        <v>41.935500825002428</v>
      </c>
      <c r="S512" s="5">
        <f>IFERROR(Table1[[#This Row],[Viewable Impressions]]/Table1[[#This Row],[Measurable Impressions]],0)</f>
        <v>0.40774320019603039</v>
      </c>
      <c r="T512" s="10">
        <f>IFERROR(1000*Table1[[#This Row],[Gross Cost]]/Table1[[#This Row],[Viewable Impressions]],0)</f>
        <v>118.02378305288462</v>
      </c>
      <c r="U512" s="10"/>
    </row>
    <row r="513" spans="1:21" x14ac:dyDescent="0.2">
      <c r="A513" t="s">
        <v>414</v>
      </c>
      <c r="B513" t="s">
        <v>14</v>
      </c>
      <c r="C513" t="s">
        <v>22</v>
      </c>
      <c r="D513" t="s">
        <v>16</v>
      </c>
      <c r="E513" t="str">
        <f>TRIM(RIGHT(Table1[[#This Row],[Location]],LEN(Table1[[#This Row],[Location]])-FIND(",",Table1[[#This Row],[Location]])))</f>
        <v>California</v>
      </c>
      <c r="F513" t="s">
        <v>409</v>
      </c>
      <c r="G513" t="s">
        <v>18</v>
      </c>
      <c r="H513" t="s">
        <v>51</v>
      </c>
      <c r="I513">
        <v>51889</v>
      </c>
      <c r="J513">
        <v>174</v>
      </c>
      <c r="K513">
        <v>33879</v>
      </c>
      <c r="L513">
        <v>49382</v>
      </c>
      <c r="M513">
        <v>5</v>
      </c>
      <c r="N513">
        <v>2172.8417469999999</v>
      </c>
      <c r="O513" s="7">
        <f>IFERROR(Table1[[#This Row],[Clicks]]/Table1[[#This Row],[Impressions]],0)</f>
        <v>3.3533118772764939E-3</v>
      </c>
      <c r="P513" s="5">
        <f>IFERROR(Table1[[#This Row],[Total Conversions]]/Table1[[#This Row],[Clicks]],0)</f>
        <v>2.8735632183908046E-2</v>
      </c>
      <c r="Q513" s="10">
        <f>IFERROR(Table1[[#This Row],[Gross Cost]]/Table1[[#This Row],[Total Conversions]],0)</f>
        <v>434.56834939999999</v>
      </c>
      <c r="R513" s="10">
        <f>IFERROR(Table1[[#This Row],[Gross Cost]]/(Table1[[#This Row],[Impressions]]/1000),0)</f>
        <v>41.874804814122449</v>
      </c>
      <c r="S513" s="5">
        <f>IFERROR(Table1[[#This Row],[Viewable Impressions]]/Table1[[#This Row],[Measurable Impressions]],0)</f>
        <v>0.68605969786561904</v>
      </c>
      <c r="T513" s="10">
        <f>IFERROR(1000*Table1[[#This Row],[Gross Cost]]/Table1[[#This Row],[Viewable Impressions]],0)</f>
        <v>64.135356622096282</v>
      </c>
      <c r="U513" s="10"/>
    </row>
    <row r="514" spans="1:21" x14ac:dyDescent="0.2">
      <c r="A514" t="s">
        <v>951</v>
      </c>
      <c r="B514" t="s">
        <v>21</v>
      </c>
      <c r="C514" t="s">
        <v>30</v>
      </c>
      <c r="D514" t="s">
        <v>952</v>
      </c>
      <c r="E514" t="str">
        <f>TRIM(RIGHT(Table1[[#This Row],[Location]],LEN(Table1[[#This Row],[Location]])-FIND(",",Table1[[#This Row],[Location]])))</f>
        <v>Ohio</v>
      </c>
      <c r="F514" t="s">
        <v>918</v>
      </c>
      <c r="G514" t="s">
        <v>18</v>
      </c>
      <c r="H514" t="s">
        <v>26</v>
      </c>
      <c r="I514">
        <v>36543</v>
      </c>
      <c r="J514">
        <v>147</v>
      </c>
      <c r="K514">
        <v>18046</v>
      </c>
      <c r="L514">
        <v>27358</v>
      </c>
      <c r="M514">
        <v>6</v>
      </c>
      <c r="N514">
        <v>1513.0887279999999</v>
      </c>
      <c r="O514" s="7">
        <f>IFERROR(Table1[[#This Row],[Clicks]]/Table1[[#This Row],[Impressions]],0)</f>
        <v>4.022658238239882E-3</v>
      </c>
      <c r="P514" s="5">
        <f>IFERROR(Table1[[#This Row],[Total Conversions]]/Table1[[#This Row],[Clicks]],0)</f>
        <v>4.0816326530612242E-2</v>
      </c>
      <c r="Q514" s="10">
        <f>IFERROR(Table1[[#This Row],[Gross Cost]]/Table1[[#This Row],[Total Conversions]],0)</f>
        <v>252.18145466666667</v>
      </c>
      <c r="R514" s="10">
        <f>IFERROR(Table1[[#This Row],[Gross Cost]]/(Table1[[#This Row],[Impressions]]/1000),0)</f>
        <v>41.405706373313627</v>
      </c>
      <c r="S514" s="5">
        <f>IFERROR(Table1[[#This Row],[Viewable Impressions]]/Table1[[#This Row],[Measurable Impressions]],0)</f>
        <v>0.65962424153812416</v>
      </c>
      <c r="T514" s="10">
        <f>IFERROR(1000*Table1[[#This Row],[Gross Cost]]/Table1[[#This Row],[Viewable Impressions]],0)</f>
        <v>83.846211237947458</v>
      </c>
      <c r="U514" s="10"/>
    </row>
    <row r="515" spans="1:21" x14ac:dyDescent="0.2">
      <c r="A515" t="s">
        <v>214</v>
      </c>
      <c r="B515" t="s">
        <v>60</v>
      </c>
      <c r="C515" t="s">
        <v>22</v>
      </c>
      <c r="D515" t="s">
        <v>31</v>
      </c>
      <c r="E515" t="str">
        <f>TRIM(RIGHT(Table1[[#This Row],[Location]],LEN(Table1[[#This Row],[Location]])-FIND(",",Table1[[#This Row],[Location]])))</f>
        <v>Michigan</v>
      </c>
      <c r="F515" t="s">
        <v>215</v>
      </c>
      <c r="G515" t="s">
        <v>25</v>
      </c>
      <c r="H515" t="s">
        <v>26</v>
      </c>
      <c r="I515">
        <v>114723</v>
      </c>
      <c r="J515">
        <v>350</v>
      </c>
      <c r="K515">
        <v>14623</v>
      </c>
      <c r="L515">
        <v>92063</v>
      </c>
      <c r="M515">
        <v>6</v>
      </c>
      <c r="N515">
        <v>4742.0086369999999</v>
      </c>
      <c r="O515" s="7">
        <f>IFERROR(Table1[[#This Row],[Clicks]]/Table1[[#This Row],[Impressions]],0)</f>
        <v>3.0508267740557691E-3</v>
      </c>
      <c r="P515" s="5">
        <f>IFERROR(Table1[[#This Row],[Total Conversions]]/Table1[[#This Row],[Clicks]],0)</f>
        <v>1.7142857142857144E-2</v>
      </c>
      <c r="Q515" s="10">
        <f>IFERROR(Table1[[#This Row],[Gross Cost]]/Table1[[#This Row],[Total Conversions]],0)</f>
        <v>790.33477283333332</v>
      </c>
      <c r="R515" s="10">
        <f>IFERROR(Table1[[#This Row],[Gross Cost]]/(Table1[[#This Row],[Impressions]]/1000),0)</f>
        <v>41.334419750180871</v>
      </c>
      <c r="S515" s="5">
        <f>IFERROR(Table1[[#This Row],[Viewable Impressions]]/Table1[[#This Row],[Measurable Impressions]],0)</f>
        <v>0.15883688343851493</v>
      </c>
      <c r="T515" s="10">
        <f>IFERROR(1000*Table1[[#This Row],[Gross Cost]]/Table1[[#This Row],[Viewable Impressions]],0)</f>
        <v>324.28425336798193</v>
      </c>
      <c r="U515" s="10"/>
    </row>
    <row r="516" spans="1:21" x14ac:dyDescent="0.2">
      <c r="A516" t="s">
        <v>46</v>
      </c>
      <c r="B516" t="s">
        <v>21</v>
      </c>
      <c r="C516" t="s">
        <v>22</v>
      </c>
      <c r="D516" t="s">
        <v>31</v>
      </c>
      <c r="E516" t="str">
        <f>TRIM(RIGHT(Table1[[#This Row],[Location]],LEN(Table1[[#This Row],[Location]])-FIND(",",Table1[[#This Row],[Location]])))</f>
        <v>Michigan</v>
      </c>
      <c r="F516" t="s">
        <v>24</v>
      </c>
      <c r="G516" t="s">
        <v>47</v>
      </c>
      <c r="H516" t="s">
        <v>26</v>
      </c>
      <c r="I516">
        <v>49936</v>
      </c>
      <c r="J516">
        <v>126</v>
      </c>
      <c r="K516">
        <v>25461</v>
      </c>
      <c r="L516">
        <v>44751</v>
      </c>
      <c r="M516">
        <v>13</v>
      </c>
      <c r="N516">
        <v>2025.7840189999999</v>
      </c>
      <c r="O516" s="7">
        <f>IFERROR(Table1[[#This Row],[Clicks]]/Table1[[#This Row],[Impressions]],0)</f>
        <v>2.5232297340595962E-3</v>
      </c>
      <c r="P516" s="5">
        <f>IFERROR(Table1[[#This Row],[Total Conversions]]/Table1[[#This Row],[Clicks]],0)</f>
        <v>0.10317460317460317</v>
      </c>
      <c r="Q516" s="10">
        <f>IFERROR(Table1[[#This Row],[Gross Cost]]/Table1[[#This Row],[Total Conversions]],0)</f>
        <v>155.82953992307691</v>
      </c>
      <c r="R516" s="10">
        <f>IFERROR(Table1[[#This Row],[Gross Cost]]/(Table1[[#This Row],[Impressions]]/1000),0)</f>
        <v>40.56760691685357</v>
      </c>
      <c r="S516" s="5">
        <f>IFERROR(Table1[[#This Row],[Viewable Impressions]]/Table1[[#This Row],[Measurable Impressions]],0)</f>
        <v>0.56894817992894009</v>
      </c>
      <c r="T516" s="10">
        <f>IFERROR(1000*Table1[[#This Row],[Gross Cost]]/Table1[[#This Row],[Viewable Impressions]],0)</f>
        <v>79.564196967911698</v>
      </c>
      <c r="U516" s="10"/>
    </row>
    <row r="517" spans="1:21" x14ac:dyDescent="0.2">
      <c r="A517" t="s">
        <v>758</v>
      </c>
      <c r="B517" t="s">
        <v>14</v>
      </c>
      <c r="C517" t="s">
        <v>30</v>
      </c>
      <c r="D517" t="s">
        <v>34</v>
      </c>
      <c r="E517" t="str">
        <f>TRIM(RIGHT(Table1[[#This Row],[Location]],LEN(Table1[[#This Row],[Location]])-FIND(",",Table1[[#This Row],[Location]])))</f>
        <v>Illinois</v>
      </c>
      <c r="F517" t="s">
        <v>742</v>
      </c>
      <c r="G517" t="s">
        <v>18</v>
      </c>
      <c r="H517" t="s">
        <v>19</v>
      </c>
      <c r="I517">
        <v>48892</v>
      </c>
      <c r="J517">
        <v>110</v>
      </c>
      <c r="K517">
        <v>32060</v>
      </c>
      <c r="L517">
        <v>45251</v>
      </c>
      <c r="M517">
        <v>9</v>
      </c>
      <c r="N517">
        <v>1978.609661</v>
      </c>
      <c r="O517" s="7">
        <f>IFERROR(Table1[[#This Row],[Clicks]]/Table1[[#This Row],[Impressions]],0)</f>
        <v>2.2498568272928086E-3</v>
      </c>
      <c r="P517" s="5">
        <f>IFERROR(Table1[[#This Row],[Total Conversions]]/Table1[[#This Row],[Clicks]],0)</f>
        <v>8.1818181818181818E-2</v>
      </c>
      <c r="Q517" s="10">
        <f>IFERROR(Table1[[#This Row],[Gross Cost]]/Table1[[#This Row],[Total Conversions]],0)</f>
        <v>219.84551788888888</v>
      </c>
      <c r="R517" s="10">
        <f>IFERROR(Table1[[#This Row],[Gross Cost]]/(Table1[[#This Row],[Impressions]]/1000),0)</f>
        <v>40.468985948621452</v>
      </c>
      <c r="S517" s="5">
        <f>IFERROR(Table1[[#This Row],[Viewable Impressions]]/Table1[[#This Row],[Measurable Impressions]],0)</f>
        <v>0.70849262999712714</v>
      </c>
      <c r="T517" s="10">
        <f>IFERROR(1000*Table1[[#This Row],[Gross Cost]]/Table1[[#This Row],[Viewable Impressions]],0)</f>
        <v>61.715834716157204</v>
      </c>
      <c r="U517" s="10"/>
    </row>
    <row r="518" spans="1:21" x14ac:dyDescent="0.2">
      <c r="A518" t="s">
        <v>591</v>
      </c>
      <c r="B518" t="s">
        <v>21</v>
      </c>
      <c r="C518" t="s">
        <v>15</v>
      </c>
      <c r="D518" t="s">
        <v>592</v>
      </c>
      <c r="E518" t="str">
        <f>TRIM(RIGHT(Table1[[#This Row],[Location]],LEN(Table1[[#This Row],[Location]])-FIND(",",Table1[[#This Row],[Location]])))</f>
        <v>Kentucky</v>
      </c>
      <c r="F518" t="s">
        <v>589</v>
      </c>
      <c r="G518" t="s">
        <v>25</v>
      </c>
      <c r="H518" t="s">
        <v>26</v>
      </c>
      <c r="I518">
        <v>68114</v>
      </c>
      <c r="J518">
        <v>174</v>
      </c>
      <c r="K518">
        <v>569</v>
      </c>
      <c r="L518">
        <v>2059</v>
      </c>
      <c r="M518">
        <v>15</v>
      </c>
      <c r="N518">
        <v>2753.7119859999998</v>
      </c>
      <c r="O518" s="7">
        <f>IFERROR(Table1[[#This Row],[Clicks]]/Table1[[#This Row],[Impressions]],0)</f>
        <v>2.5545409166984759E-3</v>
      </c>
      <c r="P518" s="5">
        <f>IFERROR(Table1[[#This Row],[Total Conversions]]/Table1[[#This Row],[Clicks]],0)</f>
        <v>8.6206896551724144E-2</v>
      </c>
      <c r="Q518" s="10">
        <f>IFERROR(Table1[[#This Row],[Gross Cost]]/Table1[[#This Row],[Total Conversions]],0)</f>
        <v>183.58079906666666</v>
      </c>
      <c r="R518" s="10">
        <f>IFERROR(Table1[[#This Row],[Gross Cost]]/(Table1[[#This Row],[Impressions]]/1000),0)</f>
        <v>40.427988166896668</v>
      </c>
      <c r="S518" s="5">
        <f>IFERROR(Table1[[#This Row],[Viewable Impressions]]/Table1[[#This Row],[Measurable Impressions]],0)</f>
        <v>0.27634774162214665</v>
      </c>
      <c r="T518" s="10">
        <f>IFERROR(1000*Table1[[#This Row],[Gross Cost]]/Table1[[#This Row],[Viewable Impressions]],0)</f>
        <v>4839.5641230228466</v>
      </c>
      <c r="U518" s="10"/>
    </row>
    <row r="519" spans="1:21" x14ac:dyDescent="0.2">
      <c r="A519" t="s">
        <v>606</v>
      </c>
      <c r="B519" t="s">
        <v>14</v>
      </c>
      <c r="C519" t="s">
        <v>22</v>
      </c>
      <c r="D519" t="s">
        <v>28</v>
      </c>
      <c r="E519" t="str">
        <f>TRIM(RIGHT(Table1[[#This Row],[Location]],LEN(Table1[[#This Row],[Location]])-FIND(",",Table1[[#This Row],[Location]])))</f>
        <v>California</v>
      </c>
      <c r="F519" t="s">
        <v>607</v>
      </c>
      <c r="G519" t="s">
        <v>32</v>
      </c>
      <c r="H519" t="s">
        <v>51</v>
      </c>
      <c r="I519">
        <v>37076</v>
      </c>
      <c r="J519">
        <v>113</v>
      </c>
      <c r="K519">
        <v>9246</v>
      </c>
      <c r="L519">
        <v>22565</v>
      </c>
      <c r="M519">
        <v>12</v>
      </c>
      <c r="N519">
        <v>1487.9960779999999</v>
      </c>
      <c r="O519" s="7">
        <f>IFERROR(Table1[[#This Row],[Clicks]]/Table1[[#This Row],[Impressions]],0)</f>
        <v>3.0477937210055023E-3</v>
      </c>
      <c r="P519" s="5">
        <f>IFERROR(Table1[[#This Row],[Total Conversions]]/Table1[[#This Row],[Clicks]],0)</f>
        <v>0.10619469026548672</v>
      </c>
      <c r="Q519" s="10">
        <f>IFERROR(Table1[[#This Row],[Gross Cost]]/Table1[[#This Row],[Total Conversions]],0)</f>
        <v>123.99967316666665</v>
      </c>
      <c r="R519" s="10">
        <f>IFERROR(Table1[[#This Row],[Gross Cost]]/(Table1[[#This Row],[Impressions]]/1000),0)</f>
        <v>40.133673481497461</v>
      </c>
      <c r="S519" s="5">
        <f>IFERROR(Table1[[#This Row],[Viewable Impressions]]/Table1[[#This Row],[Measurable Impressions]],0)</f>
        <v>0.40974961223133172</v>
      </c>
      <c r="T519" s="10">
        <f>IFERROR(1000*Table1[[#This Row],[Gross Cost]]/Table1[[#This Row],[Viewable Impressions]],0)</f>
        <v>160.93403396063161</v>
      </c>
      <c r="U519" s="10"/>
    </row>
    <row r="520" spans="1:21" x14ac:dyDescent="0.2">
      <c r="A520" t="s">
        <v>506</v>
      </c>
      <c r="B520" t="s">
        <v>14</v>
      </c>
      <c r="C520" t="s">
        <v>22</v>
      </c>
      <c r="D520" t="s">
        <v>172</v>
      </c>
      <c r="E520" t="str">
        <f>TRIM(RIGHT(Table1[[#This Row],[Location]],LEN(Table1[[#This Row],[Location]])-FIND(",",Table1[[#This Row],[Location]])))</f>
        <v>Tennessee</v>
      </c>
      <c r="F520" t="s">
        <v>507</v>
      </c>
      <c r="G520" t="s">
        <v>35</v>
      </c>
      <c r="H520" t="s">
        <v>26</v>
      </c>
      <c r="I520">
        <v>150457</v>
      </c>
      <c r="J520">
        <v>420</v>
      </c>
      <c r="K520">
        <v>58372</v>
      </c>
      <c r="L520">
        <v>135099</v>
      </c>
      <c r="M520">
        <v>14</v>
      </c>
      <c r="N520">
        <v>5906.8300060000001</v>
      </c>
      <c r="O520" s="7">
        <f>IFERROR(Table1[[#This Row],[Clicks]]/Table1[[#This Row],[Impressions]],0)</f>
        <v>2.7914952444884583E-3</v>
      </c>
      <c r="P520" s="5">
        <f>IFERROR(Table1[[#This Row],[Total Conversions]]/Table1[[#This Row],[Clicks]],0)</f>
        <v>3.3333333333333333E-2</v>
      </c>
      <c r="Q520" s="10">
        <f>IFERROR(Table1[[#This Row],[Gross Cost]]/Table1[[#This Row],[Total Conversions]],0)</f>
        <v>421.91642899999999</v>
      </c>
      <c r="R520" s="10">
        <f>IFERROR(Table1[[#This Row],[Gross Cost]]/(Table1[[#This Row],[Impressions]]/1000),0)</f>
        <v>39.259256837501745</v>
      </c>
      <c r="S520" s="5">
        <f>IFERROR(Table1[[#This Row],[Viewable Impressions]]/Table1[[#This Row],[Measurable Impressions]],0)</f>
        <v>0.43206833507279846</v>
      </c>
      <c r="T520" s="10">
        <f>IFERROR(1000*Table1[[#This Row],[Gross Cost]]/Table1[[#This Row],[Viewable Impressions]],0)</f>
        <v>101.19286654560406</v>
      </c>
      <c r="U520" s="10"/>
    </row>
    <row r="521" spans="1:21" x14ac:dyDescent="0.2">
      <c r="A521" t="s">
        <v>949</v>
      </c>
      <c r="B521" t="s">
        <v>14</v>
      </c>
      <c r="C521" t="s">
        <v>41</v>
      </c>
      <c r="D521" t="s">
        <v>54</v>
      </c>
      <c r="E521" t="str">
        <f>TRIM(RIGHT(Table1[[#This Row],[Location]],LEN(Table1[[#This Row],[Location]])-FIND(",",Table1[[#This Row],[Location]])))</f>
        <v>Florida</v>
      </c>
      <c r="F521" t="s">
        <v>918</v>
      </c>
      <c r="G521" t="s">
        <v>25</v>
      </c>
      <c r="H521" t="s">
        <v>26</v>
      </c>
      <c r="I521">
        <v>40519</v>
      </c>
      <c r="J521">
        <v>111</v>
      </c>
      <c r="K521">
        <v>6105</v>
      </c>
      <c r="L521">
        <v>26283</v>
      </c>
      <c r="M521">
        <v>10</v>
      </c>
      <c r="N521">
        <v>1582.410977</v>
      </c>
      <c r="O521" s="7">
        <f>IFERROR(Table1[[#This Row],[Clicks]]/Table1[[#This Row],[Impressions]],0)</f>
        <v>2.7394555640563685E-3</v>
      </c>
      <c r="P521" s="5">
        <f>IFERROR(Table1[[#This Row],[Total Conversions]]/Table1[[#This Row],[Clicks]],0)</f>
        <v>9.0090090090090086E-2</v>
      </c>
      <c r="Q521" s="10">
        <f>IFERROR(Table1[[#This Row],[Gross Cost]]/Table1[[#This Row],[Total Conversions]],0)</f>
        <v>158.24109770000001</v>
      </c>
      <c r="R521" s="10">
        <f>IFERROR(Table1[[#This Row],[Gross Cost]]/(Table1[[#This Row],[Impressions]]/1000),0)</f>
        <v>39.053554554653374</v>
      </c>
      <c r="S521" s="5">
        <f>IFERROR(Table1[[#This Row],[Viewable Impressions]]/Table1[[#This Row],[Measurable Impressions]],0)</f>
        <v>0.23227942015751626</v>
      </c>
      <c r="T521" s="10">
        <f>IFERROR(1000*Table1[[#This Row],[Gross Cost]]/Table1[[#This Row],[Viewable Impressions]],0)</f>
        <v>259.19917723177724</v>
      </c>
      <c r="U521" s="10"/>
    </row>
    <row r="522" spans="1:21" x14ac:dyDescent="0.2">
      <c r="A522" t="s">
        <v>328</v>
      </c>
      <c r="B522" t="s">
        <v>21</v>
      </c>
      <c r="C522" t="s">
        <v>15</v>
      </c>
      <c r="D522" t="s">
        <v>31</v>
      </c>
      <c r="E522" t="str">
        <f>TRIM(RIGHT(Table1[[#This Row],[Location]],LEN(Table1[[#This Row],[Location]])-FIND(",",Table1[[#This Row],[Location]])))</f>
        <v>Michigan</v>
      </c>
      <c r="F522" t="s">
        <v>296</v>
      </c>
      <c r="G522" t="s">
        <v>45</v>
      </c>
      <c r="H522" t="s">
        <v>26</v>
      </c>
      <c r="I522">
        <v>37269</v>
      </c>
      <c r="J522">
        <v>106</v>
      </c>
      <c r="K522">
        <v>11667</v>
      </c>
      <c r="L522">
        <v>33260</v>
      </c>
      <c r="M522">
        <v>6</v>
      </c>
      <c r="N522">
        <v>1453.075462</v>
      </c>
      <c r="O522" s="7">
        <f>IFERROR(Table1[[#This Row],[Clicks]]/Table1[[#This Row],[Impressions]],0)</f>
        <v>2.8441868577101614E-3</v>
      </c>
      <c r="P522" s="5">
        <f>IFERROR(Table1[[#This Row],[Total Conversions]]/Table1[[#This Row],[Clicks]],0)</f>
        <v>5.6603773584905662E-2</v>
      </c>
      <c r="Q522" s="10">
        <f>IFERROR(Table1[[#This Row],[Gross Cost]]/Table1[[#This Row],[Total Conversions]],0)</f>
        <v>242.17924366666668</v>
      </c>
      <c r="R522" s="10">
        <f>IFERROR(Table1[[#This Row],[Gross Cost]]/(Table1[[#This Row],[Impressions]]/1000),0)</f>
        <v>38.988850304542652</v>
      </c>
      <c r="S522" s="5">
        <f>IFERROR(Table1[[#This Row],[Viewable Impressions]]/Table1[[#This Row],[Measurable Impressions]],0)</f>
        <v>0.35078171978352374</v>
      </c>
      <c r="T522" s="10">
        <f>IFERROR(1000*Table1[[#This Row],[Gross Cost]]/Table1[[#This Row],[Viewable Impressions]],0)</f>
        <v>124.54576686380389</v>
      </c>
      <c r="U522" s="10"/>
    </row>
    <row r="523" spans="1:21" x14ac:dyDescent="0.2">
      <c r="A523" t="s">
        <v>544</v>
      </c>
      <c r="B523" t="s">
        <v>60</v>
      </c>
      <c r="C523" t="s">
        <v>15</v>
      </c>
      <c r="D523" t="s">
        <v>77</v>
      </c>
      <c r="E523" t="str">
        <f>TRIM(RIGHT(Table1[[#This Row],[Location]],LEN(Table1[[#This Row],[Location]])-FIND(",",Table1[[#This Row],[Location]])))</f>
        <v>New York</v>
      </c>
      <c r="F523" t="s">
        <v>538</v>
      </c>
      <c r="G523" t="s">
        <v>18</v>
      </c>
      <c r="H523" t="s">
        <v>26</v>
      </c>
      <c r="I523">
        <v>184622</v>
      </c>
      <c r="J523">
        <v>180</v>
      </c>
      <c r="K523">
        <v>98938</v>
      </c>
      <c r="L523">
        <v>161848</v>
      </c>
      <c r="M523">
        <v>13</v>
      </c>
      <c r="N523">
        <v>7149.8160749999997</v>
      </c>
      <c r="O523" s="7">
        <f>IFERROR(Table1[[#This Row],[Clicks]]/Table1[[#This Row],[Impressions]],0)</f>
        <v>9.7496506375188219E-4</v>
      </c>
      <c r="P523" s="5">
        <f>IFERROR(Table1[[#This Row],[Total Conversions]]/Table1[[#This Row],[Clicks]],0)</f>
        <v>7.2222222222222215E-2</v>
      </c>
      <c r="Q523" s="10">
        <f>IFERROR(Table1[[#This Row],[Gross Cost]]/Table1[[#This Row],[Total Conversions]],0)</f>
        <v>549.98585192307689</v>
      </c>
      <c r="R523" s="10">
        <f>IFERROR(Table1[[#This Row],[Gross Cost]]/(Table1[[#This Row],[Impressions]]/1000),0)</f>
        <v>38.726782696536702</v>
      </c>
      <c r="S523" s="5">
        <f>IFERROR(Table1[[#This Row],[Viewable Impressions]]/Table1[[#This Row],[Measurable Impressions]],0)</f>
        <v>0.61130196233503042</v>
      </c>
      <c r="T523" s="10">
        <f>IFERROR(1000*Table1[[#This Row],[Gross Cost]]/Table1[[#This Row],[Viewable Impressions]],0)</f>
        <v>72.265621651943647</v>
      </c>
      <c r="U523" s="10"/>
    </row>
    <row r="524" spans="1:21" x14ac:dyDescent="0.2">
      <c r="A524" t="s">
        <v>434</v>
      </c>
      <c r="B524" t="s">
        <v>14</v>
      </c>
      <c r="C524" t="s">
        <v>15</v>
      </c>
      <c r="D524" t="s">
        <v>16</v>
      </c>
      <c r="E524" t="str">
        <f>TRIM(RIGHT(Table1[[#This Row],[Location]],LEN(Table1[[#This Row],[Location]])-FIND(",",Table1[[#This Row],[Location]])))</f>
        <v>California</v>
      </c>
      <c r="F524" t="s">
        <v>433</v>
      </c>
      <c r="G524" t="s">
        <v>45</v>
      </c>
      <c r="H524" t="s">
        <v>19</v>
      </c>
      <c r="I524">
        <v>120902</v>
      </c>
      <c r="J524">
        <v>333</v>
      </c>
      <c r="K524">
        <v>9964</v>
      </c>
      <c r="L524">
        <v>70015</v>
      </c>
      <c r="M524">
        <v>15</v>
      </c>
      <c r="N524">
        <v>4669.0136689999999</v>
      </c>
      <c r="O524" s="7">
        <f>IFERROR(Table1[[#This Row],[Clicks]]/Table1[[#This Row],[Impressions]],0)</f>
        <v>2.7542968685381549E-3</v>
      </c>
      <c r="P524" s="5">
        <f>IFERROR(Table1[[#This Row],[Total Conversions]]/Table1[[#This Row],[Clicks]],0)</f>
        <v>4.5045045045045043E-2</v>
      </c>
      <c r="Q524" s="10">
        <f>IFERROR(Table1[[#This Row],[Gross Cost]]/Table1[[#This Row],[Total Conversions]],0)</f>
        <v>311.26757793333331</v>
      </c>
      <c r="R524" s="10">
        <f>IFERROR(Table1[[#This Row],[Gross Cost]]/(Table1[[#This Row],[Impressions]]/1000),0)</f>
        <v>38.618167350416037</v>
      </c>
      <c r="S524" s="5">
        <f>IFERROR(Table1[[#This Row],[Viewable Impressions]]/Table1[[#This Row],[Measurable Impressions]],0)</f>
        <v>0.14231236163679212</v>
      </c>
      <c r="T524" s="10">
        <f>IFERROR(1000*Table1[[#This Row],[Gross Cost]]/Table1[[#This Row],[Viewable Impressions]],0)</f>
        <v>468.58828472501</v>
      </c>
      <c r="U524" s="10"/>
    </row>
    <row r="525" spans="1:21" x14ac:dyDescent="0.2">
      <c r="A525" t="s">
        <v>496</v>
      </c>
      <c r="B525" t="s">
        <v>21</v>
      </c>
      <c r="C525" t="s">
        <v>41</v>
      </c>
      <c r="D525" t="s">
        <v>432</v>
      </c>
      <c r="E525" t="str">
        <f>TRIM(RIGHT(Table1[[#This Row],[Location]],LEN(Table1[[#This Row],[Location]])-FIND(",",Table1[[#This Row],[Location]])))</f>
        <v>Mississippi</v>
      </c>
      <c r="F525" t="s">
        <v>492</v>
      </c>
      <c r="G525" t="s">
        <v>45</v>
      </c>
      <c r="H525" t="s">
        <v>26</v>
      </c>
      <c r="I525">
        <v>69523</v>
      </c>
      <c r="J525">
        <v>174</v>
      </c>
      <c r="K525">
        <v>48273</v>
      </c>
      <c r="L525">
        <v>65800</v>
      </c>
      <c r="M525">
        <v>9</v>
      </c>
      <c r="N525">
        <v>2649.9978030000002</v>
      </c>
      <c r="O525" s="7">
        <f>IFERROR(Table1[[#This Row],[Clicks]]/Table1[[#This Row],[Impressions]],0)</f>
        <v>2.5027688678566805E-3</v>
      </c>
      <c r="P525" s="5">
        <f>IFERROR(Table1[[#This Row],[Total Conversions]]/Table1[[#This Row],[Clicks]],0)</f>
        <v>5.1724137931034482E-2</v>
      </c>
      <c r="Q525" s="10">
        <f>IFERROR(Table1[[#This Row],[Gross Cost]]/Table1[[#This Row],[Total Conversions]],0)</f>
        <v>294.44420033333336</v>
      </c>
      <c r="R525" s="10">
        <f>IFERROR(Table1[[#This Row],[Gross Cost]]/(Table1[[#This Row],[Impressions]]/1000),0)</f>
        <v>38.116850581821851</v>
      </c>
      <c r="S525" s="5">
        <f>IFERROR(Table1[[#This Row],[Viewable Impressions]]/Table1[[#This Row],[Measurable Impressions]],0)</f>
        <v>0.73363221884498475</v>
      </c>
      <c r="T525" s="10">
        <f>IFERROR(1000*Table1[[#This Row],[Gross Cost]]/Table1[[#This Row],[Viewable Impressions]],0)</f>
        <v>54.896066186066754</v>
      </c>
      <c r="U525" s="10"/>
    </row>
    <row r="526" spans="1:21" x14ac:dyDescent="0.2">
      <c r="A526" t="s">
        <v>1002</v>
      </c>
      <c r="B526" t="s">
        <v>14</v>
      </c>
      <c r="C526" t="s">
        <v>41</v>
      </c>
      <c r="D526" t="s">
        <v>213</v>
      </c>
      <c r="E526" t="str">
        <f>TRIM(RIGHT(Table1[[#This Row],[Location]],LEN(Table1[[#This Row],[Location]])-FIND(",",Table1[[#This Row],[Location]])))</f>
        <v>South Carolina</v>
      </c>
      <c r="F526" t="s">
        <v>991</v>
      </c>
      <c r="G526" t="s">
        <v>35</v>
      </c>
      <c r="H526" t="s">
        <v>26</v>
      </c>
      <c r="I526">
        <v>90123</v>
      </c>
      <c r="J526">
        <v>60</v>
      </c>
      <c r="K526">
        <v>33421</v>
      </c>
      <c r="L526">
        <v>66729</v>
      </c>
      <c r="M526">
        <v>9</v>
      </c>
      <c r="N526">
        <v>3433.9142870000001</v>
      </c>
      <c r="O526" s="7">
        <f>IFERROR(Table1[[#This Row],[Clicks]]/Table1[[#This Row],[Impressions]],0)</f>
        <v>6.6575679904131021E-4</v>
      </c>
      <c r="P526" s="5">
        <f>IFERROR(Table1[[#This Row],[Total Conversions]]/Table1[[#This Row],[Clicks]],0)</f>
        <v>0.15</v>
      </c>
      <c r="Q526" s="10">
        <f>IFERROR(Table1[[#This Row],[Gross Cost]]/Table1[[#This Row],[Total Conversions]],0)</f>
        <v>381.54603188888888</v>
      </c>
      <c r="R526" s="10">
        <f>IFERROR(Table1[[#This Row],[Gross Cost]]/(Table1[[#This Row],[Impressions]]/1000),0)</f>
        <v>38.102529731589051</v>
      </c>
      <c r="S526" s="5">
        <f>IFERROR(Table1[[#This Row],[Viewable Impressions]]/Table1[[#This Row],[Measurable Impressions]],0)</f>
        <v>0.50084670832771361</v>
      </c>
      <c r="T526" s="10">
        <f>IFERROR(1000*Table1[[#This Row],[Gross Cost]]/Table1[[#This Row],[Viewable Impressions]],0)</f>
        <v>102.74720346488735</v>
      </c>
      <c r="U526" s="10"/>
    </row>
    <row r="527" spans="1:21" x14ac:dyDescent="0.2">
      <c r="A527" t="s">
        <v>95</v>
      </c>
      <c r="B527" t="s">
        <v>60</v>
      </c>
      <c r="C527" t="s">
        <v>22</v>
      </c>
      <c r="D527" t="s">
        <v>54</v>
      </c>
      <c r="E527" t="str">
        <f>TRIM(RIGHT(Table1[[#This Row],[Location]],LEN(Table1[[#This Row],[Location]])-FIND(",",Table1[[#This Row],[Location]])))</f>
        <v>Florida</v>
      </c>
      <c r="F527" t="s">
        <v>92</v>
      </c>
      <c r="G527" t="s">
        <v>18</v>
      </c>
      <c r="H527" t="s">
        <v>26</v>
      </c>
      <c r="I527">
        <v>53561</v>
      </c>
      <c r="J527">
        <v>147</v>
      </c>
      <c r="K527">
        <v>37063</v>
      </c>
      <c r="L527">
        <v>51480</v>
      </c>
      <c r="M527">
        <v>14</v>
      </c>
      <c r="N527">
        <v>2039.3550600000001</v>
      </c>
      <c r="O527" s="7">
        <f>IFERROR(Table1[[#This Row],[Clicks]]/Table1[[#This Row],[Impressions]],0)</f>
        <v>2.7445342693377646E-3</v>
      </c>
      <c r="P527" s="5">
        <f>IFERROR(Table1[[#This Row],[Total Conversions]]/Table1[[#This Row],[Clicks]],0)</f>
        <v>9.5238095238095233E-2</v>
      </c>
      <c r="Q527" s="10">
        <f>IFERROR(Table1[[#This Row],[Gross Cost]]/Table1[[#This Row],[Total Conversions]],0)</f>
        <v>145.66821857142858</v>
      </c>
      <c r="R527" s="10">
        <f>IFERROR(Table1[[#This Row],[Gross Cost]]/(Table1[[#This Row],[Impressions]]/1000),0)</f>
        <v>38.075373125968525</v>
      </c>
      <c r="S527" s="5">
        <f>IFERROR(Table1[[#This Row],[Viewable Impressions]]/Table1[[#This Row],[Measurable Impressions]],0)</f>
        <v>0.71994949494949489</v>
      </c>
      <c r="T527" s="10">
        <f>IFERROR(1000*Table1[[#This Row],[Gross Cost]]/Table1[[#This Row],[Viewable Impressions]],0)</f>
        <v>55.024014785635273</v>
      </c>
      <c r="U527" s="10"/>
    </row>
    <row r="528" spans="1:21" x14ac:dyDescent="0.2">
      <c r="A528" t="s">
        <v>552</v>
      </c>
      <c r="B528" t="s">
        <v>21</v>
      </c>
      <c r="C528" t="s">
        <v>30</v>
      </c>
      <c r="D528" t="s">
        <v>77</v>
      </c>
      <c r="E528" t="str">
        <f>TRIM(RIGHT(Table1[[#This Row],[Location]],LEN(Table1[[#This Row],[Location]])-FIND(",",Table1[[#This Row],[Location]])))</f>
        <v>New York</v>
      </c>
      <c r="F528" t="s">
        <v>538</v>
      </c>
      <c r="G528" t="s">
        <v>25</v>
      </c>
      <c r="H528" t="s">
        <v>26</v>
      </c>
      <c r="I528">
        <v>65257</v>
      </c>
      <c r="J528">
        <v>201</v>
      </c>
      <c r="K528">
        <v>12749</v>
      </c>
      <c r="L528">
        <v>19274</v>
      </c>
      <c r="M528">
        <v>3</v>
      </c>
      <c r="N528">
        <v>2468.1358369999998</v>
      </c>
      <c r="O528" s="7">
        <f>IFERROR(Table1[[#This Row],[Clicks]]/Table1[[#This Row],[Impressions]],0)</f>
        <v>3.0801293347840078E-3</v>
      </c>
      <c r="P528" s="5">
        <f>IFERROR(Table1[[#This Row],[Total Conversions]]/Table1[[#This Row],[Clicks]],0)</f>
        <v>1.4925373134328358E-2</v>
      </c>
      <c r="Q528" s="10">
        <f>IFERROR(Table1[[#This Row],[Gross Cost]]/Table1[[#This Row],[Total Conversions]],0)</f>
        <v>822.71194566666657</v>
      </c>
      <c r="R528" s="10">
        <f>IFERROR(Table1[[#This Row],[Gross Cost]]/(Table1[[#This Row],[Impressions]]/1000),0)</f>
        <v>37.821779073509347</v>
      </c>
      <c r="S528" s="5">
        <f>IFERROR(Table1[[#This Row],[Viewable Impressions]]/Table1[[#This Row],[Measurable Impressions]],0)</f>
        <v>0.66146103559198921</v>
      </c>
      <c r="T528" s="10">
        <f>IFERROR(1000*Table1[[#This Row],[Gross Cost]]/Table1[[#This Row],[Viewable Impressions]],0)</f>
        <v>193.59446521295786</v>
      </c>
      <c r="U528" s="10"/>
    </row>
    <row r="529" spans="1:21" x14ac:dyDescent="0.2">
      <c r="A529" t="s">
        <v>475</v>
      </c>
      <c r="B529" t="s">
        <v>14</v>
      </c>
      <c r="C529" t="s">
        <v>22</v>
      </c>
      <c r="D529" t="s">
        <v>42</v>
      </c>
      <c r="E529" t="str">
        <f>TRIM(RIGHT(Table1[[#This Row],[Location]],LEN(Table1[[#This Row],[Location]])-FIND(",",Table1[[#This Row],[Location]])))</f>
        <v>Illinois</v>
      </c>
      <c r="F529" t="s">
        <v>473</v>
      </c>
      <c r="G529" t="s">
        <v>25</v>
      </c>
      <c r="H529" t="s">
        <v>26</v>
      </c>
      <c r="I529">
        <v>39705</v>
      </c>
      <c r="J529">
        <v>190</v>
      </c>
      <c r="K529">
        <v>12950</v>
      </c>
      <c r="L529">
        <v>38030</v>
      </c>
      <c r="M529">
        <v>3</v>
      </c>
      <c r="N529">
        <v>1476.4195090000001</v>
      </c>
      <c r="O529" s="7">
        <f>IFERROR(Table1[[#This Row],[Clicks]]/Table1[[#This Row],[Impressions]],0)</f>
        <v>4.7852915249968521E-3</v>
      </c>
      <c r="P529" s="5">
        <f>IFERROR(Table1[[#This Row],[Total Conversions]]/Table1[[#This Row],[Clicks]],0)</f>
        <v>1.5789473684210527E-2</v>
      </c>
      <c r="Q529" s="10">
        <f>IFERROR(Table1[[#This Row],[Gross Cost]]/Table1[[#This Row],[Total Conversions]],0)</f>
        <v>492.13983633333334</v>
      </c>
      <c r="R529" s="10">
        <f>IFERROR(Table1[[#This Row],[Gross Cost]]/(Table1[[#This Row],[Impressions]]/1000),0)</f>
        <v>37.184725072409023</v>
      </c>
      <c r="S529" s="5">
        <f>IFERROR(Table1[[#This Row],[Viewable Impressions]]/Table1[[#This Row],[Measurable Impressions]],0)</f>
        <v>0.34052064159873785</v>
      </c>
      <c r="T529" s="10">
        <f>IFERROR(1000*Table1[[#This Row],[Gross Cost]]/Table1[[#This Row],[Viewable Impressions]],0)</f>
        <v>114.0092284942085</v>
      </c>
      <c r="U529" s="10"/>
    </row>
    <row r="530" spans="1:21" x14ac:dyDescent="0.2">
      <c r="A530" t="s">
        <v>304</v>
      </c>
      <c r="B530" t="s">
        <v>14</v>
      </c>
      <c r="C530" t="s">
        <v>41</v>
      </c>
      <c r="D530" t="s">
        <v>77</v>
      </c>
      <c r="E530" t="str">
        <f>TRIM(RIGHT(Table1[[#This Row],[Location]],LEN(Table1[[#This Row],[Location]])-FIND(",",Table1[[#This Row],[Location]])))</f>
        <v>New York</v>
      </c>
      <c r="F530" t="s">
        <v>296</v>
      </c>
      <c r="G530" t="s">
        <v>18</v>
      </c>
      <c r="H530" t="s">
        <v>26</v>
      </c>
      <c r="I530">
        <v>161178</v>
      </c>
      <c r="J530">
        <v>492</v>
      </c>
      <c r="K530">
        <v>70181</v>
      </c>
      <c r="L530">
        <v>150003</v>
      </c>
      <c r="M530">
        <v>11</v>
      </c>
      <c r="N530">
        <v>5892.48218</v>
      </c>
      <c r="O530" s="7">
        <f>IFERROR(Table1[[#This Row],[Clicks]]/Table1[[#This Row],[Impressions]],0)</f>
        <v>3.0525257789524624E-3</v>
      </c>
      <c r="P530" s="5">
        <f>IFERROR(Table1[[#This Row],[Total Conversions]]/Table1[[#This Row],[Clicks]],0)</f>
        <v>2.2357723577235773E-2</v>
      </c>
      <c r="Q530" s="10">
        <f>IFERROR(Table1[[#This Row],[Gross Cost]]/Table1[[#This Row],[Total Conversions]],0)</f>
        <v>535.68019818181813</v>
      </c>
      <c r="R530" s="10">
        <f>IFERROR(Table1[[#This Row],[Gross Cost]]/(Table1[[#This Row],[Impressions]]/1000),0)</f>
        <v>36.558849098512205</v>
      </c>
      <c r="S530" s="5">
        <f>IFERROR(Table1[[#This Row],[Viewable Impressions]]/Table1[[#This Row],[Measurable Impressions]],0)</f>
        <v>0.46786397605381225</v>
      </c>
      <c r="T530" s="10">
        <f>IFERROR(1000*Table1[[#This Row],[Gross Cost]]/Table1[[#This Row],[Viewable Impressions]],0)</f>
        <v>83.96121713854177</v>
      </c>
      <c r="U530" s="10"/>
    </row>
    <row r="531" spans="1:21" x14ac:dyDescent="0.2">
      <c r="A531" t="s">
        <v>454</v>
      </c>
      <c r="B531" t="s">
        <v>21</v>
      </c>
      <c r="C531" t="s">
        <v>15</v>
      </c>
      <c r="D531" t="s">
        <v>42</v>
      </c>
      <c r="E531" t="str">
        <f>TRIM(RIGHT(Table1[[#This Row],[Location]],LEN(Table1[[#This Row],[Location]])-FIND(",",Table1[[#This Row],[Location]])))</f>
        <v>Illinois</v>
      </c>
      <c r="F531" t="s">
        <v>455</v>
      </c>
      <c r="G531" t="s">
        <v>18</v>
      </c>
      <c r="H531" t="s">
        <v>26</v>
      </c>
      <c r="I531">
        <v>138904</v>
      </c>
      <c r="J531">
        <v>399</v>
      </c>
      <c r="K531">
        <v>98952</v>
      </c>
      <c r="L531">
        <v>120688</v>
      </c>
      <c r="M531">
        <v>25</v>
      </c>
      <c r="N531">
        <v>5038.6447239999998</v>
      </c>
      <c r="O531" s="7">
        <f>IFERROR(Table1[[#This Row],[Clicks]]/Table1[[#This Row],[Impressions]],0)</f>
        <v>2.8724874733628983E-3</v>
      </c>
      <c r="P531" s="5">
        <f>IFERROR(Table1[[#This Row],[Total Conversions]]/Table1[[#This Row],[Clicks]],0)</f>
        <v>6.2656641604010022E-2</v>
      </c>
      <c r="Q531" s="10">
        <f>IFERROR(Table1[[#This Row],[Gross Cost]]/Table1[[#This Row],[Total Conversions]],0)</f>
        <v>201.54578895999998</v>
      </c>
      <c r="R531" s="10">
        <f>IFERROR(Table1[[#This Row],[Gross Cost]]/(Table1[[#This Row],[Impressions]]/1000),0)</f>
        <v>36.2742953694638</v>
      </c>
      <c r="S531" s="5">
        <f>IFERROR(Table1[[#This Row],[Viewable Impressions]]/Table1[[#This Row],[Measurable Impressions]],0)</f>
        <v>0.81989924433249373</v>
      </c>
      <c r="T531" s="10">
        <f>IFERROR(1000*Table1[[#This Row],[Gross Cost]]/Table1[[#This Row],[Viewable Impressions]],0)</f>
        <v>50.920089780903865</v>
      </c>
      <c r="U531" s="10"/>
    </row>
    <row r="532" spans="1:21" x14ac:dyDescent="0.2">
      <c r="A532" t="s">
        <v>754</v>
      </c>
      <c r="B532" t="s">
        <v>14</v>
      </c>
      <c r="C532" t="s">
        <v>15</v>
      </c>
      <c r="D532" t="s">
        <v>172</v>
      </c>
      <c r="E532" t="str">
        <f>TRIM(RIGHT(Table1[[#This Row],[Location]],LEN(Table1[[#This Row],[Location]])-FIND(",",Table1[[#This Row],[Location]])))</f>
        <v>Tennessee</v>
      </c>
      <c r="F532" t="s">
        <v>742</v>
      </c>
      <c r="G532" t="s">
        <v>25</v>
      </c>
      <c r="H532" t="s">
        <v>19</v>
      </c>
      <c r="I532">
        <v>65043</v>
      </c>
      <c r="J532">
        <v>160</v>
      </c>
      <c r="K532">
        <v>25871</v>
      </c>
      <c r="L532">
        <v>53969</v>
      </c>
      <c r="M532">
        <v>4</v>
      </c>
      <c r="N532">
        <v>2347.9185309999998</v>
      </c>
      <c r="O532" s="7">
        <f>IFERROR(Table1[[#This Row],[Clicks]]/Table1[[#This Row],[Impressions]],0)</f>
        <v>2.4599111357102225E-3</v>
      </c>
      <c r="P532" s="5">
        <f>IFERROR(Table1[[#This Row],[Total Conversions]]/Table1[[#This Row],[Clicks]],0)</f>
        <v>2.5000000000000001E-2</v>
      </c>
      <c r="Q532" s="10">
        <f>IFERROR(Table1[[#This Row],[Gross Cost]]/Table1[[#This Row],[Total Conversions]],0)</f>
        <v>586.97963274999995</v>
      </c>
      <c r="R532" s="10">
        <f>IFERROR(Table1[[#This Row],[Gross Cost]]/(Table1[[#This Row],[Impressions]]/1000),0)</f>
        <v>36.097943375920536</v>
      </c>
      <c r="S532" s="5">
        <f>IFERROR(Table1[[#This Row],[Viewable Impressions]]/Table1[[#This Row],[Measurable Impressions]],0)</f>
        <v>0.47936778521002799</v>
      </c>
      <c r="T532" s="10">
        <f>IFERROR(1000*Table1[[#This Row],[Gross Cost]]/Table1[[#This Row],[Viewable Impressions]],0)</f>
        <v>90.754842526380884</v>
      </c>
      <c r="U532" s="10"/>
    </row>
    <row r="533" spans="1:21" x14ac:dyDescent="0.2">
      <c r="A533" t="s">
        <v>233</v>
      </c>
      <c r="B533" t="s">
        <v>14</v>
      </c>
      <c r="C533" t="s">
        <v>30</v>
      </c>
      <c r="D533" t="s">
        <v>34</v>
      </c>
      <c r="E533" t="str">
        <f>TRIM(RIGHT(Table1[[#This Row],[Location]],LEN(Table1[[#This Row],[Location]])-FIND(",",Table1[[#This Row],[Location]])))</f>
        <v>Illinois</v>
      </c>
      <c r="F533" t="s">
        <v>234</v>
      </c>
      <c r="G533" t="s">
        <v>18</v>
      </c>
      <c r="H533" t="s">
        <v>26</v>
      </c>
      <c r="I533">
        <v>42451</v>
      </c>
      <c r="J533">
        <v>122</v>
      </c>
      <c r="K533">
        <v>29142</v>
      </c>
      <c r="L533">
        <v>41093</v>
      </c>
      <c r="M533">
        <v>7</v>
      </c>
      <c r="N533">
        <v>1530.553686</v>
      </c>
      <c r="O533" s="7">
        <f>IFERROR(Table1[[#This Row],[Clicks]]/Table1[[#This Row],[Impressions]],0)</f>
        <v>2.8739016748722057E-3</v>
      </c>
      <c r="P533" s="5">
        <f>IFERROR(Table1[[#This Row],[Total Conversions]]/Table1[[#This Row],[Clicks]],0)</f>
        <v>5.737704918032787E-2</v>
      </c>
      <c r="Q533" s="10">
        <f>IFERROR(Table1[[#This Row],[Gross Cost]]/Table1[[#This Row],[Total Conversions]],0)</f>
        <v>218.65052657142857</v>
      </c>
      <c r="R533" s="10">
        <f>IFERROR(Table1[[#This Row],[Gross Cost]]/(Table1[[#This Row],[Impressions]]/1000),0)</f>
        <v>36.054596735059242</v>
      </c>
      <c r="S533" s="5">
        <f>IFERROR(Table1[[#This Row],[Viewable Impressions]]/Table1[[#This Row],[Measurable Impressions]],0)</f>
        <v>0.70917187842211571</v>
      </c>
      <c r="T533" s="10">
        <f>IFERROR(1000*Table1[[#This Row],[Gross Cost]]/Table1[[#This Row],[Viewable Impressions]],0)</f>
        <v>52.520543751286802</v>
      </c>
      <c r="U533" s="10"/>
    </row>
    <row r="534" spans="1:21" x14ac:dyDescent="0.2">
      <c r="A534" t="s">
        <v>413</v>
      </c>
      <c r="B534" t="s">
        <v>21</v>
      </c>
      <c r="C534" t="s">
        <v>22</v>
      </c>
      <c r="D534" t="s">
        <v>172</v>
      </c>
      <c r="E534" t="str">
        <f>TRIM(RIGHT(Table1[[#This Row],[Location]],LEN(Table1[[#This Row],[Location]])-FIND(",",Table1[[#This Row],[Location]])))</f>
        <v>Tennessee</v>
      </c>
      <c r="F534" t="s">
        <v>409</v>
      </c>
      <c r="G534" t="s">
        <v>18</v>
      </c>
      <c r="H534" t="s">
        <v>26</v>
      </c>
      <c r="I534">
        <v>70134</v>
      </c>
      <c r="J534">
        <v>169</v>
      </c>
      <c r="K534">
        <v>48862</v>
      </c>
      <c r="L534">
        <v>66739</v>
      </c>
      <c r="M534">
        <v>14</v>
      </c>
      <c r="N534">
        <v>2514.8681160000001</v>
      </c>
      <c r="O534" s="7">
        <f>IFERROR(Table1[[#This Row],[Clicks]]/Table1[[#This Row],[Impressions]],0)</f>
        <v>2.4096729118544499E-3</v>
      </c>
      <c r="P534" s="5">
        <f>IFERROR(Table1[[#This Row],[Total Conversions]]/Table1[[#This Row],[Clicks]],0)</f>
        <v>8.2840236686390539E-2</v>
      </c>
      <c r="Q534" s="10">
        <f>IFERROR(Table1[[#This Row],[Gross Cost]]/Table1[[#This Row],[Total Conversions]],0)</f>
        <v>179.63343685714287</v>
      </c>
      <c r="R534" s="10">
        <f>IFERROR(Table1[[#This Row],[Gross Cost]]/(Table1[[#This Row],[Impressions]]/1000),0)</f>
        <v>35.858044828471215</v>
      </c>
      <c r="S534" s="5">
        <f>IFERROR(Table1[[#This Row],[Viewable Impressions]]/Table1[[#This Row],[Measurable Impressions]],0)</f>
        <v>0.73213563283837035</v>
      </c>
      <c r="T534" s="10">
        <f>IFERROR(1000*Table1[[#This Row],[Gross Cost]]/Table1[[#This Row],[Viewable Impressions]],0)</f>
        <v>51.46879202652368</v>
      </c>
      <c r="U534" s="10"/>
    </row>
    <row r="535" spans="1:21" x14ac:dyDescent="0.2">
      <c r="A535" t="s">
        <v>306</v>
      </c>
      <c r="B535" t="s">
        <v>14</v>
      </c>
      <c r="C535" t="s">
        <v>30</v>
      </c>
      <c r="D535" t="s">
        <v>16</v>
      </c>
      <c r="E535" t="str">
        <f>TRIM(RIGHT(Table1[[#This Row],[Location]],LEN(Table1[[#This Row],[Location]])-FIND(",",Table1[[#This Row],[Location]])))</f>
        <v>California</v>
      </c>
      <c r="F535" t="s">
        <v>296</v>
      </c>
      <c r="G535" t="s">
        <v>35</v>
      </c>
      <c r="H535" t="s">
        <v>19</v>
      </c>
      <c r="I535">
        <v>161222</v>
      </c>
      <c r="J535">
        <v>500</v>
      </c>
      <c r="K535">
        <v>66740</v>
      </c>
      <c r="L535">
        <v>149743</v>
      </c>
      <c r="M535">
        <v>19</v>
      </c>
      <c r="N535">
        <v>5767.7973810000003</v>
      </c>
      <c r="O535" s="7">
        <f>IFERROR(Table1[[#This Row],[Clicks]]/Table1[[#This Row],[Impressions]],0)</f>
        <v>3.1013137164903051E-3</v>
      </c>
      <c r="P535" s="5">
        <f>IFERROR(Table1[[#This Row],[Total Conversions]]/Table1[[#This Row],[Clicks]],0)</f>
        <v>3.7999999999999999E-2</v>
      </c>
      <c r="Q535" s="10">
        <f>IFERROR(Table1[[#This Row],[Gross Cost]]/Table1[[#This Row],[Total Conversions]],0)</f>
        <v>303.56828321052632</v>
      </c>
      <c r="R535" s="10">
        <f>IFERROR(Table1[[#This Row],[Gross Cost]]/(Table1[[#This Row],[Impressions]]/1000),0)</f>
        <v>35.775498263264318</v>
      </c>
      <c r="S535" s="5">
        <f>IFERROR(Table1[[#This Row],[Viewable Impressions]]/Table1[[#This Row],[Measurable Impressions]],0)</f>
        <v>0.44569696079282506</v>
      </c>
      <c r="T535" s="10">
        <f>IFERROR(1000*Table1[[#This Row],[Gross Cost]]/Table1[[#This Row],[Viewable Impressions]],0)</f>
        <v>86.421896628708424</v>
      </c>
      <c r="U535" s="10"/>
    </row>
    <row r="536" spans="1:21" x14ac:dyDescent="0.2">
      <c r="A536" t="s">
        <v>840</v>
      </c>
      <c r="B536" t="s">
        <v>14</v>
      </c>
      <c r="C536" t="s">
        <v>15</v>
      </c>
      <c r="D536" t="s">
        <v>83</v>
      </c>
      <c r="E536" t="str">
        <f>TRIM(RIGHT(Table1[[#This Row],[Location]],LEN(Table1[[#This Row],[Location]])-FIND(",",Table1[[#This Row],[Location]])))</f>
        <v>Florida</v>
      </c>
      <c r="F536" t="s">
        <v>838</v>
      </c>
      <c r="G536" t="s">
        <v>18</v>
      </c>
      <c r="H536" t="s">
        <v>51</v>
      </c>
      <c r="I536">
        <v>56737</v>
      </c>
      <c r="J536">
        <v>145</v>
      </c>
      <c r="K536">
        <v>41296</v>
      </c>
      <c r="L536">
        <v>53472</v>
      </c>
      <c r="M536">
        <v>5</v>
      </c>
      <c r="N536">
        <v>2028.370144</v>
      </c>
      <c r="O536" s="7">
        <f>IFERROR(Table1[[#This Row],[Clicks]]/Table1[[#This Row],[Impressions]],0)</f>
        <v>2.555651514884467E-3</v>
      </c>
      <c r="P536" s="5">
        <f>IFERROR(Table1[[#This Row],[Total Conversions]]/Table1[[#This Row],[Clicks]],0)</f>
        <v>3.4482758620689655E-2</v>
      </c>
      <c r="Q536" s="10">
        <f>IFERROR(Table1[[#This Row],[Gross Cost]]/Table1[[#This Row],[Total Conversions]],0)</f>
        <v>405.67402879999997</v>
      </c>
      <c r="R536" s="10">
        <f>IFERROR(Table1[[#This Row],[Gross Cost]]/(Table1[[#This Row],[Impressions]]/1000),0)</f>
        <v>35.750394698344991</v>
      </c>
      <c r="S536" s="5">
        <f>IFERROR(Table1[[#This Row],[Viewable Impressions]]/Table1[[#This Row],[Measurable Impressions]],0)</f>
        <v>0.7722920406941951</v>
      </c>
      <c r="T536" s="10">
        <f>IFERROR(1000*Table1[[#This Row],[Gross Cost]]/Table1[[#This Row],[Viewable Impressions]],0)</f>
        <v>49.117835722588147</v>
      </c>
      <c r="U536" s="10"/>
    </row>
    <row r="537" spans="1:21" x14ac:dyDescent="0.2">
      <c r="A537" t="s">
        <v>1018</v>
      </c>
      <c r="B537" t="s">
        <v>21</v>
      </c>
      <c r="C537" t="s">
        <v>22</v>
      </c>
      <c r="D537" t="s">
        <v>83</v>
      </c>
      <c r="E537" t="str">
        <f>TRIM(RIGHT(Table1[[#This Row],[Location]],LEN(Table1[[#This Row],[Location]])-FIND(",",Table1[[#This Row],[Location]])))</f>
        <v>Florida</v>
      </c>
      <c r="F537" t="s">
        <v>1019</v>
      </c>
      <c r="G537" t="s">
        <v>18</v>
      </c>
      <c r="H537" t="s">
        <v>26</v>
      </c>
      <c r="I537">
        <v>61474</v>
      </c>
      <c r="J537">
        <v>250</v>
      </c>
      <c r="K537">
        <v>31245</v>
      </c>
      <c r="L537">
        <v>49089</v>
      </c>
      <c r="M537">
        <v>15</v>
      </c>
      <c r="N537">
        <v>2189.3413489999998</v>
      </c>
      <c r="O537" s="7">
        <f>IFERROR(Table1[[#This Row],[Clicks]]/Table1[[#This Row],[Impressions]],0)</f>
        <v>4.0667599310277519E-3</v>
      </c>
      <c r="P537" s="5">
        <f>IFERROR(Table1[[#This Row],[Total Conversions]]/Table1[[#This Row],[Clicks]],0)</f>
        <v>0.06</v>
      </c>
      <c r="Q537" s="10">
        <f>IFERROR(Table1[[#This Row],[Gross Cost]]/Table1[[#This Row],[Total Conversions]],0)</f>
        <v>145.95608993333332</v>
      </c>
      <c r="R537" s="10">
        <f>IFERROR(Table1[[#This Row],[Gross Cost]]/(Table1[[#This Row],[Impressions]]/1000),0)</f>
        <v>35.614102693821778</v>
      </c>
      <c r="S537" s="5">
        <f>IFERROR(Table1[[#This Row],[Viewable Impressions]]/Table1[[#This Row],[Measurable Impressions]],0)</f>
        <v>0.63649697488235657</v>
      </c>
      <c r="T537" s="10">
        <f>IFERROR(1000*Table1[[#This Row],[Gross Cost]]/Table1[[#This Row],[Viewable Impressions]],0)</f>
        <v>70.070134389502314</v>
      </c>
      <c r="U537" s="10"/>
    </row>
    <row r="538" spans="1:21" x14ac:dyDescent="0.2">
      <c r="A538" t="s">
        <v>297</v>
      </c>
      <c r="B538" t="s">
        <v>21</v>
      </c>
      <c r="C538" t="s">
        <v>15</v>
      </c>
      <c r="D538" t="s">
        <v>77</v>
      </c>
      <c r="E538" t="str">
        <f>TRIM(RIGHT(Table1[[#This Row],[Location]],LEN(Table1[[#This Row],[Location]])-FIND(",",Table1[[#This Row],[Location]])))</f>
        <v>New York</v>
      </c>
      <c r="F538" t="s">
        <v>296</v>
      </c>
      <c r="G538" t="s">
        <v>18</v>
      </c>
      <c r="H538" t="s">
        <v>26</v>
      </c>
      <c r="I538">
        <v>221720</v>
      </c>
      <c r="J538">
        <v>499</v>
      </c>
      <c r="K538">
        <v>35178</v>
      </c>
      <c r="L538">
        <v>196583</v>
      </c>
      <c r="M538">
        <v>69</v>
      </c>
      <c r="N538">
        <v>7890.221963</v>
      </c>
      <c r="O538" s="7">
        <f>IFERROR(Table1[[#This Row],[Clicks]]/Table1[[#This Row],[Impressions]],0)</f>
        <v>2.2505863250947139E-3</v>
      </c>
      <c r="P538" s="5">
        <f>IFERROR(Table1[[#This Row],[Total Conversions]]/Table1[[#This Row],[Clicks]],0)</f>
        <v>0.13827655310621242</v>
      </c>
      <c r="Q538" s="10">
        <f>IFERROR(Table1[[#This Row],[Gross Cost]]/Table1[[#This Row],[Total Conversions]],0)</f>
        <v>114.35104294202898</v>
      </c>
      <c r="R538" s="10">
        <f>IFERROR(Table1[[#This Row],[Gross Cost]]/(Table1[[#This Row],[Impressions]]/1000),0)</f>
        <v>35.586424152083708</v>
      </c>
      <c r="S538" s="5">
        <f>IFERROR(Table1[[#This Row],[Viewable Impressions]]/Table1[[#This Row],[Measurable Impressions]],0)</f>
        <v>0.17894731487463311</v>
      </c>
      <c r="T538" s="10">
        <f>IFERROR(1000*Table1[[#This Row],[Gross Cost]]/Table1[[#This Row],[Viewable Impressions]],0)</f>
        <v>224.29421692535107</v>
      </c>
      <c r="U538" s="10"/>
    </row>
    <row r="539" spans="1:21" x14ac:dyDescent="0.2">
      <c r="A539" t="s">
        <v>314</v>
      </c>
      <c r="B539" t="s">
        <v>14</v>
      </c>
      <c r="C539" t="s">
        <v>22</v>
      </c>
      <c r="D539" t="s">
        <v>16</v>
      </c>
      <c r="E539" t="str">
        <f>TRIM(RIGHT(Table1[[#This Row],[Location]],LEN(Table1[[#This Row],[Location]])-FIND(",",Table1[[#This Row],[Location]])))</f>
        <v>California</v>
      </c>
      <c r="F539" t="s">
        <v>296</v>
      </c>
      <c r="G539" t="s">
        <v>18</v>
      </c>
      <c r="H539" t="s">
        <v>51</v>
      </c>
      <c r="I539">
        <v>55692</v>
      </c>
      <c r="J539">
        <v>184</v>
      </c>
      <c r="K539">
        <v>3596</v>
      </c>
      <c r="L539">
        <v>51209</v>
      </c>
      <c r="M539">
        <v>9</v>
      </c>
      <c r="N539">
        <v>1981.0502879999999</v>
      </c>
      <c r="O539" s="7">
        <f>IFERROR(Table1[[#This Row],[Clicks]]/Table1[[#This Row],[Impressions]],0)</f>
        <v>3.3038856568268333E-3</v>
      </c>
      <c r="P539" s="5">
        <f>IFERROR(Table1[[#This Row],[Total Conversions]]/Table1[[#This Row],[Clicks]],0)</f>
        <v>4.8913043478260872E-2</v>
      </c>
      <c r="Q539" s="10">
        <f>IFERROR(Table1[[#This Row],[Gross Cost]]/Table1[[#This Row],[Total Conversions]],0)</f>
        <v>220.11669866666665</v>
      </c>
      <c r="R539" s="10">
        <f>IFERROR(Table1[[#This Row],[Gross Cost]]/(Table1[[#This Row],[Impressions]]/1000),0)</f>
        <v>35.57154147812971</v>
      </c>
      <c r="S539" s="5">
        <f>IFERROR(Table1[[#This Row],[Viewable Impressions]]/Table1[[#This Row],[Measurable Impressions]],0)</f>
        <v>7.0222031283563441E-2</v>
      </c>
      <c r="T539" s="10">
        <f>IFERROR(1000*Table1[[#This Row],[Gross Cost]]/Table1[[#This Row],[Viewable Impressions]],0)</f>
        <v>550.90386206896551</v>
      </c>
      <c r="U539" s="10"/>
    </row>
    <row r="540" spans="1:21" x14ac:dyDescent="0.2">
      <c r="A540" t="s">
        <v>751</v>
      </c>
      <c r="B540" t="s">
        <v>14</v>
      </c>
      <c r="C540" t="s">
        <v>41</v>
      </c>
      <c r="D540" t="s">
        <v>239</v>
      </c>
      <c r="E540" t="str">
        <f>TRIM(RIGHT(Table1[[#This Row],[Location]],LEN(Table1[[#This Row],[Location]])-FIND(",",Table1[[#This Row],[Location]])))</f>
        <v>Tennessee</v>
      </c>
      <c r="F540" t="s">
        <v>742</v>
      </c>
      <c r="G540" t="s">
        <v>49</v>
      </c>
      <c r="H540" t="s">
        <v>19</v>
      </c>
      <c r="I540">
        <v>114194</v>
      </c>
      <c r="J540">
        <v>380</v>
      </c>
      <c r="K540">
        <v>50923</v>
      </c>
      <c r="L540">
        <v>104074</v>
      </c>
      <c r="M540">
        <v>2</v>
      </c>
      <c r="N540">
        <v>4036.0893759999999</v>
      </c>
      <c r="O540" s="7">
        <f>IFERROR(Table1[[#This Row],[Clicks]]/Table1[[#This Row],[Impressions]],0)</f>
        <v>3.3276704555405714E-3</v>
      </c>
      <c r="P540" s="5">
        <f>IFERROR(Table1[[#This Row],[Total Conversions]]/Table1[[#This Row],[Clicks]],0)</f>
        <v>5.263157894736842E-3</v>
      </c>
      <c r="Q540" s="10">
        <f>IFERROR(Table1[[#This Row],[Gross Cost]]/Table1[[#This Row],[Total Conversions]],0)</f>
        <v>2018.044688</v>
      </c>
      <c r="R540" s="10">
        <f>IFERROR(Table1[[#This Row],[Gross Cost]]/(Table1[[#This Row],[Impressions]]/1000),0)</f>
        <v>35.344145716937838</v>
      </c>
      <c r="S540" s="5">
        <f>IFERROR(Table1[[#This Row],[Viewable Impressions]]/Table1[[#This Row],[Measurable Impressions]],0)</f>
        <v>0.4892960777908027</v>
      </c>
      <c r="T540" s="10">
        <f>IFERROR(1000*Table1[[#This Row],[Gross Cost]]/Table1[[#This Row],[Viewable Impressions]],0)</f>
        <v>79.25867242699762</v>
      </c>
      <c r="U540" s="10"/>
    </row>
    <row r="541" spans="1:21" x14ac:dyDescent="0.2">
      <c r="A541" t="s">
        <v>925</v>
      </c>
      <c r="B541" t="s">
        <v>14</v>
      </c>
      <c r="C541" t="s">
        <v>22</v>
      </c>
      <c r="D541" t="s">
        <v>34</v>
      </c>
      <c r="E541" t="str">
        <f>TRIM(RIGHT(Table1[[#This Row],[Location]],LEN(Table1[[#This Row],[Location]])-FIND(",",Table1[[#This Row],[Location]])))</f>
        <v>Illinois</v>
      </c>
      <c r="F541" t="s">
        <v>918</v>
      </c>
      <c r="G541" t="s">
        <v>18</v>
      </c>
      <c r="H541" t="s">
        <v>26</v>
      </c>
      <c r="I541">
        <v>182114</v>
      </c>
      <c r="J541">
        <v>500</v>
      </c>
      <c r="K541">
        <v>14477</v>
      </c>
      <c r="L541">
        <v>139167</v>
      </c>
      <c r="M541">
        <v>29</v>
      </c>
      <c r="N541">
        <v>6307.9007510000001</v>
      </c>
      <c r="O541" s="7">
        <f>IFERROR(Table1[[#This Row],[Clicks]]/Table1[[#This Row],[Impressions]],0)</f>
        <v>2.7455330177800718E-3</v>
      </c>
      <c r="P541" s="5">
        <f>IFERROR(Table1[[#This Row],[Total Conversions]]/Table1[[#This Row],[Clicks]],0)</f>
        <v>5.8000000000000003E-2</v>
      </c>
      <c r="Q541" s="10">
        <f>IFERROR(Table1[[#This Row],[Gross Cost]]/Table1[[#This Row],[Total Conversions]],0)</f>
        <v>217.51381900000001</v>
      </c>
      <c r="R541" s="10">
        <f>IFERROR(Table1[[#This Row],[Gross Cost]]/(Table1[[#This Row],[Impressions]]/1000),0)</f>
        <v>34.637099569500421</v>
      </c>
      <c r="S541" s="5">
        <f>IFERROR(Table1[[#This Row],[Viewable Impressions]]/Table1[[#This Row],[Measurable Impressions]],0)</f>
        <v>0.1040260981410823</v>
      </c>
      <c r="T541" s="10">
        <f>IFERROR(1000*Table1[[#This Row],[Gross Cost]]/Table1[[#This Row],[Viewable Impressions]],0)</f>
        <v>435.71877813082824</v>
      </c>
      <c r="U541" s="10"/>
    </row>
    <row r="542" spans="1:21" x14ac:dyDescent="0.2">
      <c r="A542" t="s">
        <v>795</v>
      </c>
      <c r="B542" t="s">
        <v>14</v>
      </c>
      <c r="C542" t="s">
        <v>41</v>
      </c>
      <c r="D542" t="s">
        <v>34</v>
      </c>
      <c r="E542" t="str">
        <f>TRIM(RIGHT(Table1[[#This Row],[Location]],LEN(Table1[[#This Row],[Location]])-FIND(",",Table1[[#This Row],[Location]])))</f>
        <v>Illinois</v>
      </c>
      <c r="F542" t="s">
        <v>794</v>
      </c>
      <c r="G542" t="s">
        <v>18</v>
      </c>
      <c r="H542" t="s">
        <v>51</v>
      </c>
      <c r="I542">
        <v>62040</v>
      </c>
      <c r="J542">
        <v>174</v>
      </c>
      <c r="K542">
        <v>43853</v>
      </c>
      <c r="L542">
        <v>58642</v>
      </c>
      <c r="M542">
        <v>15</v>
      </c>
      <c r="N542">
        <v>2139.0657930000002</v>
      </c>
      <c r="O542" s="7">
        <f>IFERROR(Table1[[#This Row],[Clicks]]/Table1[[#This Row],[Impressions]],0)</f>
        <v>2.8046421663442938E-3</v>
      </c>
      <c r="P542" s="5">
        <f>IFERROR(Table1[[#This Row],[Total Conversions]]/Table1[[#This Row],[Clicks]],0)</f>
        <v>8.6206896551724144E-2</v>
      </c>
      <c r="Q542" s="10">
        <f>IFERROR(Table1[[#This Row],[Gross Cost]]/Table1[[#This Row],[Total Conversions]],0)</f>
        <v>142.60438620000002</v>
      </c>
      <c r="R542" s="10">
        <f>IFERROR(Table1[[#This Row],[Gross Cost]]/(Table1[[#This Row],[Impressions]]/1000),0)</f>
        <v>34.478816779497102</v>
      </c>
      <c r="S542" s="5">
        <f>IFERROR(Table1[[#This Row],[Viewable Impressions]]/Table1[[#This Row],[Measurable Impressions]],0)</f>
        <v>0.74780873776474199</v>
      </c>
      <c r="T542" s="10">
        <f>IFERROR(1000*Table1[[#This Row],[Gross Cost]]/Table1[[#This Row],[Viewable Impressions]],0)</f>
        <v>48.778094839577683</v>
      </c>
      <c r="U542" s="10"/>
    </row>
    <row r="543" spans="1:21" x14ac:dyDescent="0.2">
      <c r="A543" t="s">
        <v>50</v>
      </c>
      <c r="B543" t="s">
        <v>14</v>
      </c>
      <c r="C543" t="s">
        <v>30</v>
      </c>
      <c r="D543" t="s">
        <v>34</v>
      </c>
      <c r="E543" t="str">
        <f>TRIM(RIGHT(Table1[[#This Row],[Location]],LEN(Table1[[#This Row],[Location]])-FIND(",",Table1[[#This Row],[Location]])))</f>
        <v>Illinois</v>
      </c>
      <c r="F543" t="s">
        <v>24</v>
      </c>
      <c r="G543" t="s">
        <v>18</v>
      </c>
      <c r="H543" t="s">
        <v>51</v>
      </c>
      <c r="I543">
        <v>49250</v>
      </c>
      <c r="J543">
        <v>220</v>
      </c>
      <c r="K543">
        <v>9205</v>
      </c>
      <c r="L543">
        <v>43535</v>
      </c>
      <c r="M543">
        <v>15</v>
      </c>
      <c r="N543">
        <v>1694.4709769999999</v>
      </c>
      <c r="O543" s="7">
        <f>IFERROR(Table1[[#This Row],[Clicks]]/Table1[[#This Row],[Impressions]],0)</f>
        <v>4.4670050761421321E-3</v>
      </c>
      <c r="P543" s="5">
        <f>IFERROR(Table1[[#This Row],[Total Conversions]]/Table1[[#This Row],[Clicks]],0)</f>
        <v>6.8181818181818177E-2</v>
      </c>
      <c r="Q543" s="10">
        <f>IFERROR(Table1[[#This Row],[Gross Cost]]/Table1[[#This Row],[Total Conversions]],0)</f>
        <v>112.9647318</v>
      </c>
      <c r="R543" s="10">
        <f>IFERROR(Table1[[#This Row],[Gross Cost]]/(Table1[[#This Row],[Impressions]]/1000),0)</f>
        <v>34.405502071065989</v>
      </c>
      <c r="S543" s="5">
        <f>IFERROR(Table1[[#This Row],[Viewable Impressions]]/Table1[[#This Row],[Measurable Impressions]],0)</f>
        <v>0.2114390720110256</v>
      </c>
      <c r="T543" s="10">
        <f>IFERROR(1000*Table1[[#This Row],[Gross Cost]]/Table1[[#This Row],[Viewable Impressions]],0)</f>
        <v>184.08158359587179</v>
      </c>
      <c r="U543" s="10"/>
    </row>
    <row r="544" spans="1:21" x14ac:dyDescent="0.2">
      <c r="A544" t="s">
        <v>652</v>
      </c>
      <c r="B544" t="s">
        <v>14</v>
      </c>
      <c r="C544" t="s">
        <v>15</v>
      </c>
      <c r="D544" t="s">
        <v>77</v>
      </c>
      <c r="E544" t="str">
        <f>TRIM(RIGHT(Table1[[#This Row],[Location]],LEN(Table1[[#This Row],[Location]])-FIND(",",Table1[[#This Row],[Location]])))</f>
        <v>New York</v>
      </c>
      <c r="F544" t="s">
        <v>653</v>
      </c>
      <c r="G544" t="s">
        <v>18</v>
      </c>
      <c r="H544" t="s">
        <v>19</v>
      </c>
      <c r="I544">
        <v>50517</v>
      </c>
      <c r="J544">
        <v>270</v>
      </c>
      <c r="K544">
        <v>17179</v>
      </c>
      <c r="L544">
        <v>48389</v>
      </c>
      <c r="M544">
        <v>2</v>
      </c>
      <c r="N544">
        <v>1718.4710769999999</v>
      </c>
      <c r="O544" s="7">
        <f>IFERROR(Table1[[#This Row],[Clicks]]/Table1[[#This Row],[Impressions]],0)</f>
        <v>5.3447354355959384E-3</v>
      </c>
      <c r="P544" s="5">
        <f>IFERROR(Table1[[#This Row],[Total Conversions]]/Table1[[#This Row],[Clicks]],0)</f>
        <v>7.4074074074074077E-3</v>
      </c>
      <c r="Q544" s="10">
        <f>IFERROR(Table1[[#This Row],[Gross Cost]]/Table1[[#This Row],[Total Conversions]],0)</f>
        <v>859.23553849999996</v>
      </c>
      <c r="R544" s="10">
        <f>IFERROR(Table1[[#This Row],[Gross Cost]]/(Table1[[#This Row],[Impressions]]/1000),0)</f>
        <v>34.017678741809682</v>
      </c>
      <c r="S544" s="5">
        <f>IFERROR(Table1[[#This Row],[Viewable Impressions]]/Table1[[#This Row],[Measurable Impressions]],0)</f>
        <v>0.3550187025976978</v>
      </c>
      <c r="T544" s="10">
        <f>IFERROR(1000*Table1[[#This Row],[Gross Cost]]/Table1[[#This Row],[Viewable Impressions]],0)</f>
        <v>100.03324273822689</v>
      </c>
      <c r="U544" s="10"/>
    </row>
    <row r="545" spans="1:21" x14ac:dyDescent="0.2">
      <c r="A545" t="s">
        <v>338</v>
      </c>
      <c r="B545" t="s">
        <v>21</v>
      </c>
      <c r="C545" t="s">
        <v>30</v>
      </c>
      <c r="D545" t="s">
        <v>34</v>
      </c>
      <c r="E545" t="str">
        <f>TRIM(RIGHT(Table1[[#This Row],[Location]],LEN(Table1[[#This Row],[Location]])-FIND(",",Table1[[#This Row],[Location]])))</f>
        <v>Illinois</v>
      </c>
      <c r="F545" t="s">
        <v>337</v>
      </c>
      <c r="G545" t="s">
        <v>18</v>
      </c>
      <c r="H545" t="s">
        <v>26</v>
      </c>
      <c r="I545">
        <v>95289</v>
      </c>
      <c r="J545">
        <v>199</v>
      </c>
      <c r="K545">
        <v>19527</v>
      </c>
      <c r="L545">
        <v>82800</v>
      </c>
      <c r="M545">
        <v>5</v>
      </c>
      <c r="N545">
        <v>3223.5359480000002</v>
      </c>
      <c r="O545" s="7">
        <f>IFERROR(Table1[[#This Row],[Clicks]]/Table1[[#This Row],[Impressions]],0)</f>
        <v>2.0883837588808784E-3</v>
      </c>
      <c r="P545" s="5">
        <f>IFERROR(Table1[[#This Row],[Total Conversions]]/Table1[[#This Row],[Clicks]],0)</f>
        <v>2.5125628140703519E-2</v>
      </c>
      <c r="Q545" s="10">
        <f>IFERROR(Table1[[#This Row],[Gross Cost]]/Table1[[#This Row],[Total Conversions]],0)</f>
        <v>644.70718959999999</v>
      </c>
      <c r="R545" s="10">
        <f>IFERROR(Table1[[#This Row],[Gross Cost]]/(Table1[[#This Row],[Impressions]]/1000),0)</f>
        <v>33.8290458290044</v>
      </c>
      <c r="S545" s="5">
        <f>IFERROR(Table1[[#This Row],[Viewable Impressions]]/Table1[[#This Row],[Measurable Impressions]],0)</f>
        <v>0.23583333333333334</v>
      </c>
      <c r="T545" s="10">
        <f>IFERROR(1000*Table1[[#This Row],[Gross Cost]]/Table1[[#This Row],[Viewable Impressions]],0)</f>
        <v>165.08096215496494</v>
      </c>
      <c r="U545" s="10"/>
    </row>
    <row r="546" spans="1:21" x14ac:dyDescent="0.2">
      <c r="A546" t="s">
        <v>661</v>
      </c>
      <c r="B546" t="s">
        <v>21</v>
      </c>
      <c r="C546" t="s">
        <v>22</v>
      </c>
      <c r="D546" t="s">
        <v>272</v>
      </c>
      <c r="E546" t="str">
        <f>TRIM(RIGHT(Table1[[#This Row],[Location]],LEN(Table1[[#This Row],[Location]])-FIND(",",Table1[[#This Row],[Location]])))</f>
        <v>Indiana</v>
      </c>
      <c r="F546" t="s">
        <v>660</v>
      </c>
      <c r="G546" t="s">
        <v>35</v>
      </c>
      <c r="H546" t="s">
        <v>26</v>
      </c>
      <c r="I546">
        <v>189571</v>
      </c>
      <c r="J546">
        <v>500</v>
      </c>
      <c r="K546">
        <v>130676</v>
      </c>
      <c r="L546">
        <v>183688</v>
      </c>
      <c r="M546">
        <v>39</v>
      </c>
      <c r="N546">
        <v>6335.9483879999998</v>
      </c>
      <c r="O546" s="7">
        <f>IFERROR(Table1[[#This Row],[Clicks]]/Table1[[#This Row],[Impressions]],0)</f>
        <v>2.6375342220065303E-3</v>
      </c>
      <c r="P546" s="5">
        <f>IFERROR(Table1[[#This Row],[Total Conversions]]/Table1[[#This Row],[Clicks]],0)</f>
        <v>7.8E-2</v>
      </c>
      <c r="Q546" s="10">
        <f>IFERROR(Table1[[#This Row],[Gross Cost]]/Table1[[#This Row],[Total Conversions]],0)</f>
        <v>162.46021507692308</v>
      </c>
      <c r="R546" s="10">
        <f>IFERROR(Table1[[#This Row],[Gross Cost]]/(Table1[[#This Row],[Impressions]]/1000),0)</f>
        <v>33.422561404434219</v>
      </c>
      <c r="S546" s="5">
        <f>IFERROR(Table1[[#This Row],[Viewable Impressions]]/Table1[[#This Row],[Measurable Impressions]],0)</f>
        <v>0.71140194242411048</v>
      </c>
      <c r="T546" s="10">
        <f>IFERROR(1000*Table1[[#This Row],[Gross Cost]]/Table1[[#This Row],[Viewable Impressions]],0)</f>
        <v>48.485937647310898</v>
      </c>
      <c r="U546" s="10"/>
    </row>
    <row r="547" spans="1:21" x14ac:dyDescent="0.2">
      <c r="A547" t="s">
        <v>931</v>
      </c>
      <c r="B547" t="s">
        <v>21</v>
      </c>
      <c r="C547" t="s">
        <v>30</v>
      </c>
      <c r="D547" t="s">
        <v>213</v>
      </c>
      <c r="E547" t="str">
        <f>TRIM(RIGHT(Table1[[#This Row],[Location]],LEN(Table1[[#This Row],[Location]])-FIND(",",Table1[[#This Row],[Location]])))</f>
        <v>South Carolina</v>
      </c>
      <c r="F547" t="s">
        <v>918</v>
      </c>
      <c r="G547" t="s">
        <v>18</v>
      </c>
      <c r="H547" t="s">
        <v>26</v>
      </c>
      <c r="I547">
        <v>156427</v>
      </c>
      <c r="J547">
        <v>512</v>
      </c>
      <c r="K547">
        <v>61821</v>
      </c>
      <c r="L547">
        <v>145505</v>
      </c>
      <c r="M547">
        <v>3</v>
      </c>
      <c r="N547">
        <v>5159.7474940000002</v>
      </c>
      <c r="O547" s="7">
        <f>IFERROR(Table1[[#This Row],[Clicks]]/Table1[[#This Row],[Impressions]],0)</f>
        <v>3.2730922411092715E-3</v>
      </c>
      <c r="P547" s="5">
        <f>IFERROR(Table1[[#This Row],[Total Conversions]]/Table1[[#This Row],[Clicks]],0)</f>
        <v>5.859375E-3</v>
      </c>
      <c r="Q547" s="10">
        <f>IFERROR(Table1[[#This Row],[Gross Cost]]/Table1[[#This Row],[Total Conversions]],0)</f>
        <v>1719.9158313333335</v>
      </c>
      <c r="R547" s="10">
        <f>IFERROR(Table1[[#This Row],[Gross Cost]]/(Table1[[#This Row],[Impressions]]/1000),0)</f>
        <v>32.985018532606269</v>
      </c>
      <c r="S547" s="5">
        <f>IFERROR(Table1[[#This Row],[Viewable Impressions]]/Table1[[#This Row],[Measurable Impressions]],0)</f>
        <v>0.42487199752585819</v>
      </c>
      <c r="T547" s="10">
        <f>IFERROR(1000*Table1[[#This Row],[Gross Cost]]/Table1[[#This Row],[Viewable Impressions]],0)</f>
        <v>83.46269866226686</v>
      </c>
      <c r="U547" s="10"/>
    </row>
    <row r="548" spans="1:21" x14ac:dyDescent="0.2">
      <c r="A548" t="s">
        <v>336</v>
      </c>
      <c r="B548" t="s">
        <v>14</v>
      </c>
      <c r="C548" t="s">
        <v>30</v>
      </c>
      <c r="D548" t="s">
        <v>83</v>
      </c>
      <c r="E548" t="str">
        <f>TRIM(RIGHT(Table1[[#This Row],[Location]],LEN(Table1[[#This Row],[Location]])-FIND(",",Table1[[#This Row],[Location]])))</f>
        <v>Florida</v>
      </c>
      <c r="F548" t="s">
        <v>337</v>
      </c>
      <c r="G548" t="s">
        <v>25</v>
      </c>
      <c r="H548" t="s">
        <v>26</v>
      </c>
      <c r="I548">
        <v>121991</v>
      </c>
      <c r="J548">
        <v>369</v>
      </c>
      <c r="K548">
        <v>43079</v>
      </c>
      <c r="L548">
        <v>99312</v>
      </c>
      <c r="M548">
        <v>4</v>
      </c>
      <c r="N548">
        <v>3993.2145850000002</v>
      </c>
      <c r="O548" s="7">
        <f>IFERROR(Table1[[#This Row],[Clicks]]/Table1[[#This Row],[Impressions]],0)</f>
        <v>3.0248133058996154E-3</v>
      </c>
      <c r="P548" s="5">
        <f>IFERROR(Table1[[#This Row],[Total Conversions]]/Table1[[#This Row],[Clicks]],0)</f>
        <v>1.0840108401084011E-2</v>
      </c>
      <c r="Q548" s="10">
        <f>IFERROR(Table1[[#This Row],[Gross Cost]]/Table1[[#This Row],[Total Conversions]],0)</f>
        <v>998.30364625000004</v>
      </c>
      <c r="R548" s="10">
        <f>IFERROR(Table1[[#This Row],[Gross Cost]]/(Table1[[#This Row],[Impressions]]/1000),0)</f>
        <v>32.733681869974014</v>
      </c>
      <c r="S548" s="5">
        <f>IFERROR(Table1[[#This Row],[Viewable Impressions]]/Table1[[#This Row],[Measurable Impressions]],0)</f>
        <v>0.43377436764942806</v>
      </c>
      <c r="T548" s="10">
        <f>IFERROR(1000*Table1[[#This Row],[Gross Cost]]/Table1[[#This Row],[Viewable Impressions]],0)</f>
        <v>92.695155063952271</v>
      </c>
      <c r="U548" s="10"/>
    </row>
    <row r="549" spans="1:21" x14ac:dyDescent="0.2">
      <c r="A549" t="s">
        <v>741</v>
      </c>
      <c r="B549" t="s">
        <v>14</v>
      </c>
      <c r="C549" t="s">
        <v>15</v>
      </c>
      <c r="D549" t="s">
        <v>38</v>
      </c>
      <c r="E549" t="str">
        <f>TRIM(RIGHT(Table1[[#This Row],[Location]],LEN(Table1[[#This Row],[Location]])-FIND(",",Table1[[#This Row],[Location]])))</f>
        <v>Tennessee</v>
      </c>
      <c r="F549" t="s">
        <v>742</v>
      </c>
      <c r="G549" t="s">
        <v>18</v>
      </c>
      <c r="H549" t="s">
        <v>26</v>
      </c>
      <c r="I549">
        <v>224877</v>
      </c>
      <c r="J549">
        <v>805</v>
      </c>
      <c r="K549">
        <v>121175</v>
      </c>
      <c r="L549">
        <v>213280</v>
      </c>
      <c r="M549">
        <v>11</v>
      </c>
      <c r="N549">
        <v>7360.9929689999999</v>
      </c>
      <c r="O549" s="7">
        <f>IFERROR(Table1[[#This Row],[Clicks]]/Table1[[#This Row],[Impressions]],0)</f>
        <v>3.5797346994134571E-3</v>
      </c>
      <c r="P549" s="5">
        <f>IFERROR(Table1[[#This Row],[Total Conversions]]/Table1[[#This Row],[Clicks]],0)</f>
        <v>1.3664596273291925E-2</v>
      </c>
      <c r="Q549" s="10">
        <f>IFERROR(Table1[[#This Row],[Gross Cost]]/Table1[[#This Row],[Total Conversions]],0)</f>
        <v>669.18117900000004</v>
      </c>
      <c r="R549" s="10">
        <f>IFERROR(Table1[[#This Row],[Gross Cost]]/(Table1[[#This Row],[Impressions]]/1000),0)</f>
        <v>32.733418575487931</v>
      </c>
      <c r="S549" s="5">
        <f>IFERROR(Table1[[#This Row],[Viewable Impressions]]/Table1[[#This Row],[Measurable Impressions]],0)</f>
        <v>0.56814984996249063</v>
      </c>
      <c r="T549" s="10">
        <f>IFERROR(1000*Table1[[#This Row],[Gross Cost]]/Table1[[#This Row],[Viewable Impressions]],0)</f>
        <v>60.746795700433253</v>
      </c>
      <c r="U549" s="10"/>
    </row>
    <row r="550" spans="1:21" x14ac:dyDescent="0.2">
      <c r="A550" t="s">
        <v>709</v>
      </c>
      <c r="B550" t="s">
        <v>14</v>
      </c>
      <c r="C550" t="s">
        <v>41</v>
      </c>
      <c r="D550" t="s">
        <v>77</v>
      </c>
      <c r="E550" t="str">
        <f>TRIM(RIGHT(Table1[[#This Row],[Location]],LEN(Table1[[#This Row],[Location]])-FIND(",",Table1[[#This Row],[Location]])))</f>
        <v>New York</v>
      </c>
      <c r="F550" t="s">
        <v>701</v>
      </c>
      <c r="G550" t="s">
        <v>18</v>
      </c>
      <c r="H550" t="s">
        <v>19</v>
      </c>
      <c r="I550">
        <v>50183</v>
      </c>
      <c r="J550">
        <v>199</v>
      </c>
      <c r="K550">
        <v>41506</v>
      </c>
      <c r="L550">
        <v>46163</v>
      </c>
      <c r="M550">
        <v>15</v>
      </c>
      <c r="N550">
        <v>1628.8828129999999</v>
      </c>
      <c r="O550" s="7">
        <f>IFERROR(Table1[[#This Row],[Clicks]]/Table1[[#This Row],[Impressions]],0)</f>
        <v>3.9654863200685488E-3</v>
      </c>
      <c r="P550" s="5">
        <f>IFERROR(Table1[[#This Row],[Total Conversions]]/Table1[[#This Row],[Clicks]],0)</f>
        <v>7.5376884422110546E-2</v>
      </c>
      <c r="Q550" s="10">
        <f>IFERROR(Table1[[#This Row],[Gross Cost]]/Table1[[#This Row],[Total Conversions]],0)</f>
        <v>108.59218753333333</v>
      </c>
      <c r="R550" s="10">
        <f>IFERROR(Table1[[#This Row],[Gross Cost]]/(Table1[[#This Row],[Impressions]]/1000),0)</f>
        <v>32.458856843951139</v>
      </c>
      <c r="S550" s="5">
        <f>IFERROR(Table1[[#This Row],[Viewable Impressions]]/Table1[[#This Row],[Measurable Impressions]],0)</f>
        <v>0.89911834152893011</v>
      </c>
      <c r="T550" s="10">
        <f>IFERROR(1000*Table1[[#This Row],[Gross Cost]]/Table1[[#This Row],[Viewable Impressions]],0)</f>
        <v>39.244514359369724</v>
      </c>
      <c r="U550" s="10"/>
    </row>
    <row r="551" spans="1:21" x14ac:dyDescent="0.2">
      <c r="A551" t="s">
        <v>127</v>
      </c>
      <c r="B551" t="s">
        <v>14</v>
      </c>
      <c r="C551" t="s">
        <v>15</v>
      </c>
      <c r="D551" t="s">
        <v>38</v>
      </c>
      <c r="E551" t="str">
        <f>TRIM(RIGHT(Table1[[#This Row],[Location]],LEN(Table1[[#This Row],[Location]])-FIND(",",Table1[[#This Row],[Location]])))</f>
        <v>Tennessee</v>
      </c>
      <c r="F551" t="s">
        <v>114</v>
      </c>
      <c r="G551" t="s">
        <v>18</v>
      </c>
      <c r="H551" t="s">
        <v>51</v>
      </c>
      <c r="I551">
        <v>64892</v>
      </c>
      <c r="J551">
        <v>214</v>
      </c>
      <c r="K551">
        <v>34731</v>
      </c>
      <c r="L551">
        <v>59369</v>
      </c>
      <c r="M551">
        <v>24</v>
      </c>
      <c r="N551">
        <v>2096.2855490000002</v>
      </c>
      <c r="O551" s="7">
        <f>IFERROR(Table1[[#This Row],[Clicks]]/Table1[[#This Row],[Impressions]],0)</f>
        <v>3.2977870923996794E-3</v>
      </c>
      <c r="P551" s="5">
        <f>IFERROR(Table1[[#This Row],[Total Conversions]]/Table1[[#This Row],[Clicks]],0)</f>
        <v>0.11214953271028037</v>
      </c>
      <c r="Q551" s="10">
        <f>IFERROR(Table1[[#This Row],[Gross Cost]]/Table1[[#This Row],[Total Conversions]],0)</f>
        <v>87.345231208333345</v>
      </c>
      <c r="R551" s="10">
        <f>IFERROR(Table1[[#This Row],[Gross Cost]]/(Table1[[#This Row],[Impressions]]/1000),0)</f>
        <v>32.304221614374661</v>
      </c>
      <c r="S551" s="5">
        <f>IFERROR(Table1[[#This Row],[Viewable Impressions]]/Table1[[#This Row],[Measurable Impressions]],0)</f>
        <v>0.58500227391399551</v>
      </c>
      <c r="T551" s="10">
        <f>IFERROR(1000*Table1[[#This Row],[Gross Cost]]/Table1[[#This Row],[Viewable Impressions]],0)</f>
        <v>60.357765368114947</v>
      </c>
      <c r="U551" s="10"/>
    </row>
    <row r="552" spans="1:21" x14ac:dyDescent="0.2">
      <c r="A552" t="s">
        <v>761</v>
      </c>
      <c r="B552" t="s">
        <v>14</v>
      </c>
      <c r="C552" t="s">
        <v>22</v>
      </c>
      <c r="D552" t="s">
        <v>38</v>
      </c>
      <c r="E552" t="str">
        <f>TRIM(RIGHT(Table1[[#This Row],[Location]],LEN(Table1[[#This Row],[Location]])-FIND(",",Table1[[#This Row],[Location]])))</f>
        <v>Tennessee</v>
      </c>
      <c r="F552" t="s">
        <v>742</v>
      </c>
      <c r="G552" t="s">
        <v>45</v>
      </c>
      <c r="H552" t="s">
        <v>19</v>
      </c>
      <c r="I552">
        <v>49412</v>
      </c>
      <c r="J552">
        <v>170</v>
      </c>
      <c r="K552">
        <v>22155</v>
      </c>
      <c r="L552">
        <v>43802</v>
      </c>
      <c r="M552">
        <v>3</v>
      </c>
      <c r="N552">
        <v>1595.6594660000001</v>
      </c>
      <c r="O552" s="7">
        <f>IFERROR(Table1[[#This Row],[Clicks]]/Table1[[#This Row],[Impressions]],0)</f>
        <v>3.440459807334251E-3</v>
      </c>
      <c r="P552" s="5">
        <f>IFERROR(Table1[[#This Row],[Total Conversions]]/Table1[[#This Row],[Clicks]],0)</f>
        <v>1.7647058823529412E-2</v>
      </c>
      <c r="Q552" s="10">
        <f>IFERROR(Table1[[#This Row],[Gross Cost]]/Table1[[#This Row],[Total Conversions]],0)</f>
        <v>531.88648866666665</v>
      </c>
      <c r="R552" s="10">
        <f>IFERROR(Table1[[#This Row],[Gross Cost]]/(Table1[[#This Row],[Impressions]]/1000),0)</f>
        <v>32.29295446450255</v>
      </c>
      <c r="S552" s="5">
        <f>IFERROR(Table1[[#This Row],[Viewable Impressions]]/Table1[[#This Row],[Measurable Impressions]],0)</f>
        <v>0.50579882197159942</v>
      </c>
      <c r="T552" s="10">
        <f>IFERROR(1000*Table1[[#This Row],[Gross Cost]]/Table1[[#This Row],[Viewable Impressions]],0)</f>
        <v>72.022544166102463</v>
      </c>
      <c r="U552" s="10"/>
    </row>
    <row r="553" spans="1:21" x14ac:dyDescent="0.2">
      <c r="A553" t="s">
        <v>867</v>
      </c>
      <c r="B553" t="s">
        <v>14</v>
      </c>
      <c r="C553" t="s">
        <v>15</v>
      </c>
      <c r="D553" t="s">
        <v>640</v>
      </c>
      <c r="E553" t="str">
        <f>TRIM(RIGHT(Table1[[#This Row],[Location]],LEN(Table1[[#This Row],[Location]])-FIND(",",Table1[[#This Row],[Location]])))</f>
        <v>Louisiana</v>
      </c>
      <c r="F553" t="s">
        <v>864</v>
      </c>
      <c r="G553" t="s">
        <v>25</v>
      </c>
      <c r="H553" t="s">
        <v>51</v>
      </c>
      <c r="I553">
        <v>57257</v>
      </c>
      <c r="J553">
        <v>167</v>
      </c>
      <c r="K553">
        <v>3797</v>
      </c>
      <c r="L553">
        <v>51520</v>
      </c>
      <c r="M553">
        <v>1</v>
      </c>
      <c r="N553">
        <v>1841.3581260000001</v>
      </c>
      <c r="O553" s="7">
        <f>IFERROR(Table1[[#This Row],[Clicks]]/Table1[[#This Row],[Impressions]],0)</f>
        <v>2.916673943797265E-3</v>
      </c>
      <c r="P553" s="5">
        <f>IFERROR(Table1[[#This Row],[Total Conversions]]/Table1[[#This Row],[Clicks]],0)</f>
        <v>5.9880239520958087E-3</v>
      </c>
      <c r="Q553" s="10">
        <f>IFERROR(Table1[[#This Row],[Gross Cost]]/Table1[[#This Row],[Total Conversions]],0)</f>
        <v>1841.3581260000001</v>
      </c>
      <c r="R553" s="10">
        <f>IFERROR(Table1[[#This Row],[Gross Cost]]/(Table1[[#This Row],[Impressions]]/1000),0)</f>
        <v>32.159528546727913</v>
      </c>
      <c r="S553" s="5">
        <f>IFERROR(Table1[[#This Row],[Viewable Impressions]]/Table1[[#This Row],[Measurable Impressions]],0)</f>
        <v>7.3699534161490679E-2</v>
      </c>
      <c r="T553" s="10">
        <f>IFERROR(1000*Table1[[#This Row],[Gross Cost]]/Table1[[#This Row],[Viewable Impressions]],0)</f>
        <v>484.95078377666584</v>
      </c>
      <c r="U553" s="10"/>
    </row>
    <row r="554" spans="1:21" x14ac:dyDescent="0.2">
      <c r="A554" t="s">
        <v>621</v>
      </c>
      <c r="B554" t="s">
        <v>21</v>
      </c>
      <c r="C554" t="s">
        <v>15</v>
      </c>
      <c r="D554" t="s">
        <v>34</v>
      </c>
      <c r="E554" t="str">
        <f>TRIM(RIGHT(Table1[[#This Row],[Location]],LEN(Table1[[#This Row],[Location]])-FIND(",",Table1[[#This Row],[Location]])))</f>
        <v>Illinois</v>
      </c>
      <c r="F554" t="s">
        <v>611</v>
      </c>
      <c r="G554" t="s">
        <v>25</v>
      </c>
      <c r="H554" t="s">
        <v>26</v>
      </c>
      <c r="I554">
        <v>192201</v>
      </c>
      <c r="J554">
        <v>489</v>
      </c>
      <c r="K554">
        <v>113707</v>
      </c>
      <c r="L554">
        <v>157940</v>
      </c>
      <c r="M554">
        <v>3</v>
      </c>
      <c r="N554">
        <v>6176.0041540000002</v>
      </c>
      <c r="O554" s="7">
        <f>IFERROR(Table1[[#This Row],[Clicks]]/Table1[[#This Row],[Impressions]],0)</f>
        <v>2.5442115285560429E-3</v>
      </c>
      <c r="P554" s="5">
        <f>IFERROR(Table1[[#This Row],[Total Conversions]]/Table1[[#This Row],[Clicks]],0)</f>
        <v>6.1349693251533744E-3</v>
      </c>
      <c r="Q554" s="10">
        <f>IFERROR(Table1[[#This Row],[Gross Cost]]/Table1[[#This Row],[Total Conversions]],0)</f>
        <v>2058.6680513333336</v>
      </c>
      <c r="R554" s="10">
        <f>IFERROR(Table1[[#This Row],[Gross Cost]]/(Table1[[#This Row],[Impressions]]/1000),0)</f>
        <v>32.133049016394295</v>
      </c>
      <c r="S554" s="5">
        <f>IFERROR(Table1[[#This Row],[Viewable Impressions]]/Table1[[#This Row],[Measurable Impressions]],0)</f>
        <v>0.71993795112067871</v>
      </c>
      <c r="T554" s="10">
        <f>IFERROR(1000*Table1[[#This Row],[Gross Cost]]/Table1[[#This Row],[Viewable Impressions]],0)</f>
        <v>54.315074305012004</v>
      </c>
      <c r="U554" s="10"/>
    </row>
    <row r="555" spans="1:21" x14ac:dyDescent="0.2">
      <c r="A555" t="s">
        <v>1021</v>
      </c>
      <c r="B555" t="s">
        <v>14</v>
      </c>
      <c r="C555" t="s">
        <v>41</v>
      </c>
      <c r="D555" t="s">
        <v>34</v>
      </c>
      <c r="E555" t="str">
        <f>TRIM(RIGHT(Table1[[#This Row],[Location]],LEN(Table1[[#This Row],[Location]])-FIND(",",Table1[[#This Row],[Location]])))</f>
        <v>Illinois</v>
      </c>
      <c r="F555" t="s">
        <v>1019</v>
      </c>
      <c r="G555" t="s">
        <v>116</v>
      </c>
      <c r="H555" t="s">
        <v>26</v>
      </c>
      <c r="I555">
        <v>61227</v>
      </c>
      <c r="J555">
        <v>174</v>
      </c>
      <c r="K555">
        <v>10434</v>
      </c>
      <c r="L555">
        <v>53104</v>
      </c>
      <c r="M555">
        <v>8</v>
      </c>
      <c r="N555">
        <v>1919.553678</v>
      </c>
      <c r="O555" s="7">
        <f>IFERROR(Table1[[#This Row],[Clicks]]/Table1[[#This Row],[Impressions]],0)</f>
        <v>2.8418834827772061E-3</v>
      </c>
      <c r="P555" s="5">
        <f>IFERROR(Table1[[#This Row],[Total Conversions]]/Table1[[#This Row],[Clicks]],0)</f>
        <v>4.5977011494252873E-2</v>
      </c>
      <c r="Q555" s="10">
        <f>IFERROR(Table1[[#This Row],[Gross Cost]]/Table1[[#This Row],[Total Conversions]],0)</f>
        <v>239.94420975</v>
      </c>
      <c r="R555" s="10">
        <f>IFERROR(Table1[[#This Row],[Gross Cost]]/(Table1[[#This Row],[Impressions]]/1000),0)</f>
        <v>31.351424665588713</v>
      </c>
      <c r="S555" s="5">
        <f>IFERROR(Table1[[#This Row],[Viewable Impressions]]/Table1[[#This Row],[Measurable Impressions]],0)</f>
        <v>0.19648237420909911</v>
      </c>
      <c r="T555" s="10">
        <f>IFERROR(1000*Table1[[#This Row],[Gross Cost]]/Table1[[#This Row],[Viewable Impressions]],0)</f>
        <v>183.97102530189764</v>
      </c>
      <c r="U555" s="10"/>
    </row>
    <row r="556" spans="1:21" x14ac:dyDescent="0.2">
      <c r="A556" t="s">
        <v>372</v>
      </c>
      <c r="B556" t="s">
        <v>21</v>
      </c>
      <c r="C556" t="s">
        <v>41</v>
      </c>
      <c r="D556" t="s">
        <v>83</v>
      </c>
      <c r="E556" t="str">
        <f>TRIM(RIGHT(Table1[[#This Row],[Location]],LEN(Table1[[#This Row],[Location]])-FIND(",",Table1[[#This Row],[Location]])))</f>
        <v>Florida</v>
      </c>
      <c r="F556" t="s">
        <v>364</v>
      </c>
      <c r="G556" t="s">
        <v>18</v>
      </c>
      <c r="H556" t="s">
        <v>26</v>
      </c>
      <c r="I556">
        <v>52582</v>
      </c>
      <c r="J556">
        <v>140</v>
      </c>
      <c r="K556">
        <v>22065</v>
      </c>
      <c r="L556">
        <v>46126</v>
      </c>
      <c r="M556">
        <v>10</v>
      </c>
      <c r="N556">
        <v>1631.741712</v>
      </c>
      <c r="O556" s="7">
        <f>IFERROR(Table1[[#This Row],[Clicks]]/Table1[[#This Row],[Impressions]],0)</f>
        <v>2.6625080826138221E-3</v>
      </c>
      <c r="P556" s="5">
        <f>IFERROR(Table1[[#This Row],[Total Conversions]]/Table1[[#This Row],[Clicks]],0)</f>
        <v>7.1428571428571425E-2</v>
      </c>
      <c r="Q556" s="10">
        <f>IFERROR(Table1[[#This Row],[Gross Cost]]/Table1[[#This Row],[Total Conversions]],0)</f>
        <v>163.17417119999999</v>
      </c>
      <c r="R556" s="10">
        <f>IFERROR(Table1[[#This Row],[Gross Cost]]/(Table1[[#This Row],[Impressions]]/1000),0)</f>
        <v>31.032324978129399</v>
      </c>
      <c r="S556" s="5">
        <f>IFERROR(Table1[[#This Row],[Viewable Impressions]]/Table1[[#This Row],[Measurable Impressions]],0)</f>
        <v>0.47836361271300354</v>
      </c>
      <c r="T556" s="10">
        <f>IFERROR(1000*Table1[[#This Row],[Gross Cost]]/Table1[[#This Row],[Viewable Impressions]],0)</f>
        <v>73.951584500339905</v>
      </c>
      <c r="U556" s="10"/>
    </row>
    <row r="557" spans="1:21" x14ac:dyDescent="0.2">
      <c r="A557" t="s">
        <v>638</v>
      </c>
      <c r="B557" t="s">
        <v>21</v>
      </c>
      <c r="C557" t="s">
        <v>15</v>
      </c>
      <c r="D557" t="s">
        <v>141</v>
      </c>
      <c r="E557" t="str">
        <f>TRIM(RIGHT(Table1[[#This Row],[Location]],LEN(Table1[[#This Row],[Location]])-FIND(",",Table1[[#This Row],[Location]])))</f>
        <v>Florida-Thomasville, Georgia</v>
      </c>
      <c r="F557" t="s">
        <v>611</v>
      </c>
      <c r="G557" t="s">
        <v>18</v>
      </c>
      <c r="H557" t="s">
        <v>26</v>
      </c>
      <c r="I557">
        <v>47931</v>
      </c>
      <c r="J557">
        <v>170</v>
      </c>
      <c r="K557">
        <v>15989</v>
      </c>
      <c r="L557">
        <v>38916</v>
      </c>
      <c r="M557">
        <v>4</v>
      </c>
      <c r="N557">
        <v>1487.228625</v>
      </c>
      <c r="O557" s="7">
        <f>IFERROR(Table1[[#This Row],[Clicks]]/Table1[[#This Row],[Impressions]],0)</f>
        <v>3.5467651415576557E-3</v>
      </c>
      <c r="P557" s="5">
        <f>IFERROR(Table1[[#This Row],[Total Conversions]]/Table1[[#This Row],[Clicks]],0)</f>
        <v>2.3529411764705882E-2</v>
      </c>
      <c r="Q557" s="10">
        <f>IFERROR(Table1[[#This Row],[Gross Cost]]/Table1[[#This Row],[Total Conversions]],0)</f>
        <v>371.80715624999999</v>
      </c>
      <c r="R557" s="10">
        <f>IFERROR(Table1[[#This Row],[Gross Cost]]/(Table1[[#This Row],[Impressions]]/1000),0)</f>
        <v>31.028533203980722</v>
      </c>
      <c r="S557" s="5">
        <f>IFERROR(Table1[[#This Row],[Viewable Impressions]]/Table1[[#This Row],[Measurable Impressions]],0)</f>
        <v>0.4108592866687224</v>
      </c>
      <c r="T557" s="10">
        <f>IFERROR(1000*Table1[[#This Row],[Gross Cost]]/Table1[[#This Row],[Viewable Impressions]],0)</f>
        <v>93.015737381950089</v>
      </c>
      <c r="U557" s="10"/>
    </row>
    <row r="558" spans="1:21" x14ac:dyDescent="0.2">
      <c r="A558" t="s">
        <v>871</v>
      </c>
      <c r="B558" t="s">
        <v>14</v>
      </c>
      <c r="C558" t="s">
        <v>30</v>
      </c>
      <c r="D558" t="s">
        <v>34</v>
      </c>
      <c r="E558" t="str">
        <f>TRIM(RIGHT(Table1[[#This Row],[Location]],LEN(Table1[[#This Row],[Location]])-FIND(",",Table1[[#This Row],[Location]])))</f>
        <v>Illinois</v>
      </c>
      <c r="F558" t="s">
        <v>872</v>
      </c>
      <c r="G558" t="s">
        <v>47</v>
      </c>
      <c r="H558" t="s">
        <v>26</v>
      </c>
      <c r="I558">
        <v>247106</v>
      </c>
      <c r="J558">
        <v>750</v>
      </c>
      <c r="K558">
        <v>159618</v>
      </c>
      <c r="L558">
        <v>233150</v>
      </c>
      <c r="M558">
        <v>32</v>
      </c>
      <c r="N558">
        <v>7629.94427</v>
      </c>
      <c r="O558" s="7">
        <f>IFERROR(Table1[[#This Row],[Clicks]]/Table1[[#This Row],[Impressions]],0)</f>
        <v>3.0351347195130833E-3</v>
      </c>
      <c r="P558" s="5">
        <f>IFERROR(Table1[[#This Row],[Total Conversions]]/Table1[[#This Row],[Clicks]],0)</f>
        <v>4.2666666666666665E-2</v>
      </c>
      <c r="Q558" s="10">
        <f>IFERROR(Table1[[#This Row],[Gross Cost]]/Table1[[#This Row],[Total Conversions]],0)</f>
        <v>238.4357584375</v>
      </c>
      <c r="R558" s="10">
        <f>IFERROR(Table1[[#This Row],[Gross Cost]]/(Table1[[#This Row],[Impressions]]/1000),0)</f>
        <v>30.877211682435878</v>
      </c>
      <c r="S558" s="5">
        <f>IFERROR(Table1[[#This Row],[Viewable Impressions]]/Table1[[#This Row],[Measurable Impressions]],0)</f>
        <v>0.68461505468582462</v>
      </c>
      <c r="T558" s="10">
        <f>IFERROR(1000*Table1[[#This Row],[Gross Cost]]/Table1[[#This Row],[Viewable Impressions]],0)</f>
        <v>47.801277236903104</v>
      </c>
      <c r="U558" s="10"/>
    </row>
    <row r="559" spans="1:21" x14ac:dyDescent="0.2">
      <c r="A559" t="s">
        <v>768</v>
      </c>
      <c r="B559" t="s">
        <v>14</v>
      </c>
      <c r="C559" t="s">
        <v>22</v>
      </c>
      <c r="D559" t="s">
        <v>54</v>
      </c>
      <c r="E559" t="str">
        <f>TRIM(RIGHT(Table1[[#This Row],[Location]],LEN(Table1[[#This Row],[Location]])-FIND(",",Table1[[#This Row],[Location]])))</f>
        <v>Florida</v>
      </c>
      <c r="F559" t="s">
        <v>769</v>
      </c>
      <c r="G559" t="s">
        <v>18</v>
      </c>
      <c r="H559" t="s">
        <v>51</v>
      </c>
      <c r="I559">
        <v>219088</v>
      </c>
      <c r="J559">
        <v>541</v>
      </c>
      <c r="K559">
        <v>75638</v>
      </c>
      <c r="L559">
        <v>153987</v>
      </c>
      <c r="M559">
        <v>17</v>
      </c>
      <c r="N559">
        <v>6761.0738240000001</v>
      </c>
      <c r="O559" s="7">
        <f>IFERROR(Table1[[#This Row],[Clicks]]/Table1[[#This Row],[Impressions]],0)</f>
        <v>2.4693273935587528E-3</v>
      </c>
      <c r="P559" s="5">
        <f>IFERROR(Table1[[#This Row],[Total Conversions]]/Table1[[#This Row],[Clicks]],0)</f>
        <v>3.1423290203327174E-2</v>
      </c>
      <c r="Q559" s="10">
        <f>IFERROR(Table1[[#This Row],[Gross Cost]]/Table1[[#This Row],[Total Conversions]],0)</f>
        <v>397.71022494117648</v>
      </c>
      <c r="R559" s="10">
        <f>IFERROR(Table1[[#This Row],[Gross Cost]]/(Table1[[#This Row],[Impressions]]/1000),0)</f>
        <v>30.860082816037391</v>
      </c>
      <c r="S559" s="5">
        <f>IFERROR(Table1[[#This Row],[Viewable Impressions]]/Table1[[#This Row],[Measurable Impressions]],0)</f>
        <v>0.49119730886373525</v>
      </c>
      <c r="T559" s="10">
        <f>IFERROR(1000*Table1[[#This Row],[Gross Cost]]/Table1[[#This Row],[Viewable Impressions]],0)</f>
        <v>89.387263333245201</v>
      </c>
      <c r="U559" s="10"/>
    </row>
    <row r="560" spans="1:21" x14ac:dyDescent="0.2">
      <c r="A560" t="s">
        <v>315</v>
      </c>
      <c r="B560" t="s">
        <v>14</v>
      </c>
      <c r="C560" t="s">
        <v>22</v>
      </c>
      <c r="D560" t="s">
        <v>16</v>
      </c>
      <c r="E560" t="str">
        <f>TRIM(RIGHT(Table1[[#This Row],[Location]],LEN(Table1[[#This Row],[Location]])-FIND(",",Table1[[#This Row],[Location]])))</f>
        <v>California</v>
      </c>
      <c r="F560" t="s">
        <v>296</v>
      </c>
      <c r="G560" t="s">
        <v>45</v>
      </c>
      <c r="H560" t="s">
        <v>19</v>
      </c>
      <c r="I560">
        <v>63460</v>
      </c>
      <c r="J560">
        <v>212</v>
      </c>
      <c r="K560">
        <v>26978</v>
      </c>
      <c r="L560">
        <v>59516</v>
      </c>
      <c r="M560">
        <v>4</v>
      </c>
      <c r="N560">
        <v>1945.433188</v>
      </c>
      <c r="O560" s="7">
        <f>IFERROR(Table1[[#This Row],[Clicks]]/Table1[[#This Row],[Impressions]],0)</f>
        <v>3.340687046958714E-3</v>
      </c>
      <c r="P560" s="5">
        <f>IFERROR(Table1[[#This Row],[Total Conversions]]/Table1[[#This Row],[Clicks]],0)</f>
        <v>1.8867924528301886E-2</v>
      </c>
      <c r="Q560" s="10">
        <f>IFERROR(Table1[[#This Row],[Gross Cost]]/Table1[[#This Row],[Total Conversions]],0)</f>
        <v>486.35829699999999</v>
      </c>
      <c r="R560" s="10">
        <f>IFERROR(Table1[[#This Row],[Gross Cost]]/(Table1[[#This Row],[Impressions]]/1000),0)</f>
        <v>30.656054018279232</v>
      </c>
      <c r="S560" s="5">
        <f>IFERROR(Table1[[#This Row],[Viewable Impressions]]/Table1[[#This Row],[Measurable Impressions]],0)</f>
        <v>0.45328987163115803</v>
      </c>
      <c r="T560" s="10">
        <f>IFERROR(1000*Table1[[#This Row],[Gross Cost]]/Table1[[#This Row],[Viewable Impressions]],0)</f>
        <v>72.111838831640597</v>
      </c>
      <c r="U560" s="10"/>
    </row>
    <row r="561" spans="1:21" x14ac:dyDescent="0.2">
      <c r="A561" t="s">
        <v>672</v>
      </c>
      <c r="B561" t="s">
        <v>60</v>
      </c>
      <c r="C561" t="s">
        <v>15</v>
      </c>
      <c r="D561" t="s">
        <v>44</v>
      </c>
      <c r="E561" t="str">
        <f>TRIM(RIGHT(Table1[[#This Row],[Location]],LEN(Table1[[#This Row],[Location]])-FIND(",",Table1[[#This Row],[Location]])))</f>
        <v>Florida</v>
      </c>
      <c r="F561" t="s">
        <v>668</v>
      </c>
      <c r="G561" t="s">
        <v>18</v>
      </c>
      <c r="H561" t="s">
        <v>26</v>
      </c>
      <c r="I561">
        <v>63415</v>
      </c>
      <c r="J561">
        <v>185</v>
      </c>
      <c r="K561">
        <v>28161</v>
      </c>
      <c r="L561">
        <v>59169</v>
      </c>
      <c r="M561">
        <v>9</v>
      </c>
      <c r="N561">
        <v>1924.162675</v>
      </c>
      <c r="O561" s="7">
        <f>IFERROR(Table1[[#This Row],[Clicks]]/Table1[[#This Row],[Impressions]],0)</f>
        <v>2.9172908617834895E-3</v>
      </c>
      <c r="P561" s="5">
        <f>IFERROR(Table1[[#This Row],[Total Conversions]]/Table1[[#This Row],[Clicks]],0)</f>
        <v>4.8648648648648651E-2</v>
      </c>
      <c r="Q561" s="10">
        <f>IFERROR(Table1[[#This Row],[Gross Cost]]/Table1[[#This Row],[Total Conversions]],0)</f>
        <v>213.79585277777778</v>
      </c>
      <c r="R561" s="10">
        <f>IFERROR(Table1[[#This Row],[Gross Cost]]/(Table1[[#This Row],[Impressions]]/1000),0)</f>
        <v>30.34239020736419</v>
      </c>
      <c r="S561" s="5">
        <f>IFERROR(Table1[[#This Row],[Viewable Impressions]]/Table1[[#This Row],[Measurable Impressions]],0)</f>
        <v>0.47594179384474977</v>
      </c>
      <c r="T561" s="10">
        <f>IFERROR(1000*Table1[[#This Row],[Gross Cost]]/Table1[[#This Row],[Viewable Impressions]],0)</f>
        <v>68.327214054898619</v>
      </c>
      <c r="U561" s="10"/>
    </row>
    <row r="562" spans="1:21" x14ac:dyDescent="0.2">
      <c r="A562" t="s">
        <v>922</v>
      </c>
      <c r="B562" t="s">
        <v>21</v>
      </c>
      <c r="C562" t="s">
        <v>15</v>
      </c>
      <c r="D562" t="s">
        <v>65</v>
      </c>
      <c r="E562" t="str">
        <f>TRIM(RIGHT(Table1[[#This Row],[Location]],LEN(Table1[[#This Row],[Location]])-FIND(",",Table1[[#This Row],[Location]])))</f>
        <v>Florida</v>
      </c>
      <c r="F562" t="s">
        <v>918</v>
      </c>
      <c r="G562" t="s">
        <v>18</v>
      </c>
      <c r="H562" t="s">
        <v>26</v>
      </c>
      <c r="I562">
        <v>210700</v>
      </c>
      <c r="J562">
        <v>704</v>
      </c>
      <c r="K562">
        <v>94625</v>
      </c>
      <c r="L562">
        <v>180681</v>
      </c>
      <c r="M562">
        <v>3</v>
      </c>
      <c r="N562">
        <v>6341.8793009999999</v>
      </c>
      <c r="O562" s="7">
        <f>IFERROR(Table1[[#This Row],[Clicks]]/Table1[[#This Row],[Impressions]],0)</f>
        <v>3.3412434741338396E-3</v>
      </c>
      <c r="P562" s="5">
        <f>IFERROR(Table1[[#This Row],[Total Conversions]]/Table1[[#This Row],[Clicks]],0)</f>
        <v>4.261363636363636E-3</v>
      </c>
      <c r="Q562" s="10">
        <f>IFERROR(Table1[[#This Row],[Gross Cost]]/Table1[[#This Row],[Total Conversions]],0)</f>
        <v>2113.9597669999998</v>
      </c>
      <c r="R562" s="10">
        <f>IFERROR(Table1[[#This Row],[Gross Cost]]/(Table1[[#This Row],[Impressions]]/1000),0)</f>
        <v>30.099094926435694</v>
      </c>
      <c r="S562" s="5">
        <f>IFERROR(Table1[[#This Row],[Viewable Impressions]]/Table1[[#This Row],[Measurable Impressions]],0)</f>
        <v>0.52371306335475232</v>
      </c>
      <c r="T562" s="10">
        <f>IFERROR(1000*Table1[[#This Row],[Gross Cost]]/Table1[[#This Row],[Viewable Impressions]],0)</f>
        <v>67.021181516512556</v>
      </c>
      <c r="U562" s="10"/>
    </row>
    <row r="563" spans="1:21" x14ac:dyDescent="0.2">
      <c r="A563" t="s">
        <v>240</v>
      </c>
      <c r="B563" t="s">
        <v>21</v>
      </c>
      <c r="C563" t="s">
        <v>15</v>
      </c>
      <c r="D563" t="s">
        <v>77</v>
      </c>
      <c r="E563" t="str">
        <f>TRIM(RIGHT(Table1[[#This Row],[Location]],LEN(Table1[[#This Row],[Location]])-FIND(",",Table1[[#This Row],[Location]])))</f>
        <v>New York</v>
      </c>
      <c r="F563" t="s">
        <v>241</v>
      </c>
      <c r="G563" t="s">
        <v>18</v>
      </c>
      <c r="H563" t="s">
        <v>26</v>
      </c>
      <c r="I563">
        <v>272509</v>
      </c>
      <c r="J563">
        <v>736</v>
      </c>
      <c r="K563">
        <v>89526</v>
      </c>
      <c r="L563">
        <v>237859</v>
      </c>
      <c r="M563">
        <v>69</v>
      </c>
      <c r="N563">
        <v>8168.3470770000004</v>
      </c>
      <c r="O563" s="7">
        <f>IFERROR(Table1[[#This Row],[Clicks]]/Table1[[#This Row],[Impressions]],0)</f>
        <v>2.7008282295263642E-3</v>
      </c>
      <c r="P563" s="5">
        <f>IFERROR(Table1[[#This Row],[Total Conversions]]/Table1[[#This Row],[Clicks]],0)</f>
        <v>9.375E-2</v>
      </c>
      <c r="Q563" s="10">
        <f>IFERROR(Table1[[#This Row],[Gross Cost]]/Table1[[#This Row],[Total Conversions]],0)</f>
        <v>118.38184169565218</v>
      </c>
      <c r="R563" s="10">
        <f>IFERROR(Table1[[#This Row],[Gross Cost]]/(Table1[[#This Row],[Impressions]]/1000),0)</f>
        <v>29.974595617025493</v>
      </c>
      <c r="S563" s="5">
        <f>IFERROR(Table1[[#This Row],[Viewable Impressions]]/Table1[[#This Row],[Measurable Impressions]],0)</f>
        <v>0.37638264686221667</v>
      </c>
      <c r="T563" s="10">
        <f>IFERROR(1000*Table1[[#This Row],[Gross Cost]]/Table1[[#This Row],[Viewable Impressions]],0)</f>
        <v>91.239942329602584</v>
      </c>
      <c r="U563" s="10"/>
    </row>
    <row r="564" spans="1:21" x14ac:dyDescent="0.2">
      <c r="A564" t="s">
        <v>560</v>
      </c>
      <c r="B564" t="s">
        <v>21</v>
      </c>
      <c r="C564" t="s">
        <v>15</v>
      </c>
      <c r="D564" t="s">
        <v>16</v>
      </c>
      <c r="E564" t="str">
        <f>TRIM(RIGHT(Table1[[#This Row],[Location]],LEN(Table1[[#This Row],[Location]])-FIND(",",Table1[[#This Row],[Location]])))</f>
        <v>California</v>
      </c>
      <c r="F564" t="s">
        <v>538</v>
      </c>
      <c r="G564" t="s">
        <v>25</v>
      </c>
      <c r="H564" t="s">
        <v>26</v>
      </c>
      <c r="I564">
        <v>50838</v>
      </c>
      <c r="J564">
        <v>130</v>
      </c>
      <c r="K564">
        <v>23274</v>
      </c>
      <c r="L564">
        <v>35934</v>
      </c>
      <c r="M564">
        <v>11</v>
      </c>
      <c r="N564">
        <v>1521.372273</v>
      </c>
      <c r="O564" s="7">
        <f>IFERROR(Table1[[#This Row],[Clicks]]/Table1[[#This Row],[Impressions]],0)</f>
        <v>2.5571422951335613E-3</v>
      </c>
      <c r="P564" s="5">
        <f>IFERROR(Table1[[#This Row],[Total Conversions]]/Table1[[#This Row],[Clicks]],0)</f>
        <v>8.461538461538462E-2</v>
      </c>
      <c r="Q564" s="10">
        <f>IFERROR(Table1[[#This Row],[Gross Cost]]/Table1[[#This Row],[Total Conversions]],0)</f>
        <v>138.30657027272727</v>
      </c>
      <c r="R564" s="10">
        <f>IFERROR(Table1[[#This Row],[Gross Cost]]/(Table1[[#This Row],[Impressions]]/1000),0)</f>
        <v>29.925887584090638</v>
      </c>
      <c r="S564" s="5">
        <f>IFERROR(Table1[[#This Row],[Viewable Impressions]]/Table1[[#This Row],[Measurable Impressions]],0)</f>
        <v>0.64768742694940729</v>
      </c>
      <c r="T564" s="10">
        <f>IFERROR(1000*Table1[[#This Row],[Gross Cost]]/Table1[[#This Row],[Viewable Impressions]],0)</f>
        <v>65.367890048981693</v>
      </c>
      <c r="U564" s="10"/>
    </row>
    <row r="565" spans="1:21" x14ac:dyDescent="0.2">
      <c r="A565" t="s">
        <v>294</v>
      </c>
      <c r="B565" t="s">
        <v>14</v>
      </c>
      <c r="C565" t="s">
        <v>41</v>
      </c>
      <c r="D565" t="s">
        <v>16</v>
      </c>
      <c r="E565" t="str">
        <f>TRIM(RIGHT(Table1[[#This Row],[Location]],LEN(Table1[[#This Row],[Location]])-FIND(",",Table1[[#This Row],[Location]])))</f>
        <v>California</v>
      </c>
      <c r="F565" t="s">
        <v>290</v>
      </c>
      <c r="G565" t="s">
        <v>135</v>
      </c>
      <c r="H565" t="s">
        <v>51</v>
      </c>
      <c r="I565">
        <v>49415</v>
      </c>
      <c r="J565">
        <v>144</v>
      </c>
      <c r="K565">
        <v>24692</v>
      </c>
      <c r="L565">
        <v>45565</v>
      </c>
      <c r="M565">
        <v>3</v>
      </c>
      <c r="N565">
        <v>1471.1757279999999</v>
      </c>
      <c r="O565" s="7">
        <f>IFERROR(Table1[[#This Row],[Clicks]]/Table1[[#This Row],[Impressions]],0)</f>
        <v>2.914094910452292E-3</v>
      </c>
      <c r="P565" s="5">
        <f>IFERROR(Table1[[#This Row],[Total Conversions]]/Table1[[#This Row],[Clicks]],0)</f>
        <v>2.0833333333333332E-2</v>
      </c>
      <c r="Q565" s="10">
        <f>IFERROR(Table1[[#This Row],[Gross Cost]]/Table1[[#This Row],[Total Conversions]],0)</f>
        <v>490.39190933333333</v>
      </c>
      <c r="R565" s="10">
        <f>IFERROR(Table1[[#This Row],[Gross Cost]]/(Table1[[#This Row],[Impressions]]/1000),0)</f>
        <v>29.771845148234341</v>
      </c>
      <c r="S565" s="5">
        <f>IFERROR(Table1[[#This Row],[Viewable Impressions]]/Table1[[#This Row],[Measurable Impressions]],0)</f>
        <v>0.54190716558762209</v>
      </c>
      <c r="T565" s="10">
        <f>IFERROR(1000*Table1[[#This Row],[Gross Cost]]/Table1[[#This Row],[Viewable Impressions]],0)</f>
        <v>59.581067876235217</v>
      </c>
      <c r="U565" s="10"/>
    </row>
    <row r="566" spans="1:21" x14ac:dyDescent="0.2">
      <c r="A566" t="s">
        <v>943</v>
      </c>
      <c r="B566" t="s">
        <v>21</v>
      </c>
      <c r="C566" t="s">
        <v>22</v>
      </c>
      <c r="D566" t="s">
        <v>77</v>
      </c>
      <c r="E566" t="str">
        <f>TRIM(RIGHT(Table1[[#This Row],[Location]],LEN(Table1[[#This Row],[Location]])-FIND(",",Table1[[#This Row],[Location]])))</f>
        <v>New York</v>
      </c>
      <c r="F566" t="s">
        <v>918</v>
      </c>
      <c r="G566" t="s">
        <v>25</v>
      </c>
      <c r="H566" t="s">
        <v>26</v>
      </c>
      <c r="I566">
        <v>61848</v>
      </c>
      <c r="J566">
        <v>213</v>
      </c>
      <c r="K566">
        <v>6581</v>
      </c>
      <c r="L566">
        <v>44917</v>
      </c>
      <c r="M566">
        <v>15</v>
      </c>
      <c r="N566">
        <v>1819.8936020000001</v>
      </c>
      <c r="O566" s="7">
        <f>IFERROR(Table1[[#This Row],[Clicks]]/Table1[[#This Row],[Impressions]],0)</f>
        <v>3.4439270469538222E-3</v>
      </c>
      <c r="P566" s="5">
        <f>IFERROR(Table1[[#This Row],[Total Conversions]]/Table1[[#This Row],[Clicks]],0)</f>
        <v>7.0422535211267609E-2</v>
      </c>
      <c r="Q566" s="10">
        <f>IFERROR(Table1[[#This Row],[Gross Cost]]/Table1[[#This Row],[Total Conversions]],0)</f>
        <v>121.32624013333334</v>
      </c>
      <c r="R566" s="10">
        <f>IFERROR(Table1[[#This Row],[Gross Cost]]/(Table1[[#This Row],[Impressions]]/1000),0)</f>
        <v>29.425261964816972</v>
      </c>
      <c r="S566" s="5">
        <f>IFERROR(Table1[[#This Row],[Viewable Impressions]]/Table1[[#This Row],[Measurable Impressions]],0)</f>
        <v>0.14651468263686354</v>
      </c>
      <c r="T566" s="10">
        <f>IFERROR(1000*Table1[[#This Row],[Gross Cost]]/Table1[[#This Row],[Viewable Impressions]],0)</f>
        <v>276.53754778908984</v>
      </c>
      <c r="U566" s="10"/>
    </row>
    <row r="567" spans="1:21" x14ac:dyDescent="0.2">
      <c r="A567" t="s">
        <v>926</v>
      </c>
      <c r="B567" t="s">
        <v>60</v>
      </c>
      <c r="C567" t="s">
        <v>15</v>
      </c>
      <c r="D567" t="s">
        <v>34</v>
      </c>
      <c r="E567" t="str">
        <f>TRIM(RIGHT(Table1[[#This Row],[Location]],LEN(Table1[[#This Row],[Location]])-FIND(",",Table1[[#This Row],[Location]])))</f>
        <v>Illinois</v>
      </c>
      <c r="F567" t="s">
        <v>918</v>
      </c>
      <c r="G567" t="s">
        <v>18</v>
      </c>
      <c r="H567" t="s">
        <v>26</v>
      </c>
      <c r="I567">
        <v>207823</v>
      </c>
      <c r="J567">
        <v>600</v>
      </c>
      <c r="K567">
        <v>33602</v>
      </c>
      <c r="L567">
        <v>167814</v>
      </c>
      <c r="M567">
        <v>13</v>
      </c>
      <c r="N567">
        <v>6048.9556110000003</v>
      </c>
      <c r="O567" s="7">
        <f>IFERROR(Table1[[#This Row],[Clicks]]/Table1[[#This Row],[Impressions]],0)</f>
        <v>2.8870721719925128E-3</v>
      </c>
      <c r="P567" s="5">
        <f>IFERROR(Table1[[#This Row],[Total Conversions]]/Table1[[#This Row],[Clicks]],0)</f>
        <v>2.1666666666666667E-2</v>
      </c>
      <c r="Q567" s="10">
        <f>IFERROR(Table1[[#This Row],[Gross Cost]]/Table1[[#This Row],[Total Conversions]],0)</f>
        <v>465.30427776923079</v>
      </c>
      <c r="R567" s="10">
        <f>IFERROR(Table1[[#This Row],[Gross Cost]]/(Table1[[#This Row],[Impressions]]/1000),0)</f>
        <v>29.10628569022678</v>
      </c>
      <c r="S567" s="5">
        <f>IFERROR(Table1[[#This Row],[Viewable Impressions]]/Table1[[#This Row],[Measurable Impressions]],0)</f>
        <v>0.20023359195299559</v>
      </c>
      <c r="T567" s="10">
        <f>IFERROR(1000*Table1[[#This Row],[Gross Cost]]/Table1[[#This Row],[Viewable Impressions]],0)</f>
        <v>180.0177254627701</v>
      </c>
      <c r="U567" s="10"/>
    </row>
    <row r="568" spans="1:21" x14ac:dyDescent="0.2">
      <c r="A568" t="s">
        <v>869</v>
      </c>
      <c r="B568" t="s">
        <v>14</v>
      </c>
      <c r="C568" t="s">
        <v>22</v>
      </c>
      <c r="D568" t="s">
        <v>34</v>
      </c>
      <c r="E568" t="str">
        <f>TRIM(RIGHT(Table1[[#This Row],[Location]],LEN(Table1[[#This Row],[Location]])-FIND(",",Table1[[#This Row],[Location]])))</f>
        <v>Illinois</v>
      </c>
      <c r="F568" t="s">
        <v>864</v>
      </c>
      <c r="G568" t="s">
        <v>45</v>
      </c>
      <c r="H568" t="s">
        <v>26</v>
      </c>
      <c r="I568">
        <v>57917</v>
      </c>
      <c r="J568">
        <v>212</v>
      </c>
      <c r="K568">
        <v>3650</v>
      </c>
      <c r="L568">
        <v>55128</v>
      </c>
      <c r="M568">
        <v>5</v>
      </c>
      <c r="N568">
        <v>1669.7289049999999</v>
      </c>
      <c r="O568" s="7">
        <f>IFERROR(Table1[[#This Row],[Clicks]]/Table1[[#This Row],[Impressions]],0)</f>
        <v>3.6604105875649635E-3</v>
      </c>
      <c r="P568" s="5">
        <f>IFERROR(Table1[[#This Row],[Total Conversions]]/Table1[[#This Row],[Clicks]],0)</f>
        <v>2.358490566037736E-2</v>
      </c>
      <c r="Q568" s="10">
        <f>IFERROR(Table1[[#This Row],[Gross Cost]]/Table1[[#This Row],[Total Conversions]],0)</f>
        <v>333.94578100000001</v>
      </c>
      <c r="R568" s="10">
        <f>IFERROR(Table1[[#This Row],[Gross Cost]]/(Table1[[#This Row],[Impressions]]/1000),0)</f>
        <v>28.829685670873836</v>
      </c>
      <c r="S568" s="5">
        <f>IFERROR(Table1[[#This Row],[Viewable Impressions]]/Table1[[#This Row],[Measurable Impressions]],0)</f>
        <v>6.6209548686692793E-2</v>
      </c>
      <c r="T568" s="10">
        <f>IFERROR(1000*Table1[[#This Row],[Gross Cost]]/Table1[[#This Row],[Viewable Impressions]],0)</f>
        <v>457.45997397260277</v>
      </c>
      <c r="U568" s="10"/>
    </row>
    <row r="569" spans="1:21" x14ac:dyDescent="0.2">
      <c r="A569" t="s">
        <v>189</v>
      </c>
      <c r="B569" t="s">
        <v>21</v>
      </c>
      <c r="C569" t="s">
        <v>30</v>
      </c>
      <c r="D569" t="s">
        <v>38</v>
      </c>
      <c r="E569" t="str">
        <f>TRIM(RIGHT(Table1[[#This Row],[Location]],LEN(Table1[[#This Row],[Location]])-FIND(",",Table1[[#This Row],[Location]])))</f>
        <v>Tennessee</v>
      </c>
      <c r="F569" t="s">
        <v>185</v>
      </c>
      <c r="G569" t="s">
        <v>190</v>
      </c>
      <c r="H569" t="s">
        <v>26</v>
      </c>
      <c r="I569">
        <v>66554</v>
      </c>
      <c r="J569">
        <v>169</v>
      </c>
      <c r="K569">
        <v>39206</v>
      </c>
      <c r="L569">
        <v>62109</v>
      </c>
      <c r="M569">
        <v>6</v>
      </c>
      <c r="N569">
        <v>1890.885935</v>
      </c>
      <c r="O569" s="7">
        <f>IFERROR(Table1[[#This Row],[Clicks]]/Table1[[#This Row],[Impressions]],0)</f>
        <v>2.5392914024701748E-3</v>
      </c>
      <c r="P569" s="5">
        <f>IFERROR(Table1[[#This Row],[Total Conversions]]/Table1[[#This Row],[Clicks]],0)</f>
        <v>3.5502958579881658E-2</v>
      </c>
      <c r="Q569" s="10">
        <f>IFERROR(Table1[[#This Row],[Gross Cost]]/Table1[[#This Row],[Total Conversions]],0)</f>
        <v>315.14765583333332</v>
      </c>
      <c r="R569" s="10">
        <f>IFERROR(Table1[[#This Row],[Gross Cost]]/(Table1[[#This Row],[Impressions]]/1000),0)</f>
        <v>28.411304128977971</v>
      </c>
      <c r="S569" s="5">
        <f>IFERROR(Table1[[#This Row],[Viewable Impressions]]/Table1[[#This Row],[Measurable Impressions]],0)</f>
        <v>0.6312450691526188</v>
      </c>
      <c r="T569" s="10">
        <f>IFERROR(1000*Table1[[#This Row],[Gross Cost]]/Table1[[#This Row],[Viewable Impressions]],0)</f>
        <v>48.229504029995411</v>
      </c>
      <c r="U569" s="10"/>
    </row>
    <row r="570" spans="1:21" x14ac:dyDescent="0.2">
      <c r="A570" t="s">
        <v>942</v>
      </c>
      <c r="B570" t="s">
        <v>21</v>
      </c>
      <c r="C570" t="s">
        <v>15</v>
      </c>
      <c r="D570" t="s">
        <v>16</v>
      </c>
      <c r="E570" t="str">
        <f>TRIM(RIGHT(Table1[[#This Row],[Location]],LEN(Table1[[#This Row],[Location]])-FIND(",",Table1[[#This Row],[Location]])))</f>
        <v>California</v>
      </c>
      <c r="F570" t="s">
        <v>918</v>
      </c>
      <c r="G570" t="s">
        <v>18</v>
      </c>
      <c r="H570" t="s">
        <v>26</v>
      </c>
      <c r="I570">
        <v>68008</v>
      </c>
      <c r="J570">
        <v>204</v>
      </c>
      <c r="K570">
        <v>2996</v>
      </c>
      <c r="L570">
        <v>49686</v>
      </c>
      <c r="M570">
        <v>9</v>
      </c>
      <c r="N570">
        <v>1923.808141</v>
      </c>
      <c r="O570" s="7">
        <f>IFERROR(Table1[[#This Row],[Clicks]]/Table1[[#This Row],[Impressions]],0)</f>
        <v>2.9996471003411363E-3</v>
      </c>
      <c r="P570" s="5">
        <f>IFERROR(Table1[[#This Row],[Total Conversions]]/Table1[[#This Row],[Clicks]],0)</f>
        <v>4.4117647058823532E-2</v>
      </c>
      <c r="Q570" s="10">
        <f>IFERROR(Table1[[#This Row],[Gross Cost]]/Table1[[#This Row],[Total Conversions]],0)</f>
        <v>213.7564601111111</v>
      </c>
      <c r="R570" s="10">
        <f>IFERROR(Table1[[#This Row],[Gross Cost]]/(Table1[[#This Row],[Impressions]]/1000),0)</f>
        <v>28.287968194918246</v>
      </c>
      <c r="S570" s="5">
        <f>IFERROR(Table1[[#This Row],[Viewable Impressions]]/Table1[[#This Row],[Measurable Impressions]],0)</f>
        <v>6.0298675683291066E-2</v>
      </c>
      <c r="T570" s="10">
        <f>IFERROR(1000*Table1[[#This Row],[Gross Cost]]/Table1[[#This Row],[Viewable Impressions]],0)</f>
        <v>642.12554773030706</v>
      </c>
      <c r="U570" s="10"/>
    </row>
    <row r="571" spans="1:21" x14ac:dyDescent="0.2">
      <c r="A571" t="s">
        <v>760</v>
      </c>
      <c r="B571" t="s">
        <v>21</v>
      </c>
      <c r="C571" t="s">
        <v>41</v>
      </c>
      <c r="D571" t="s">
        <v>28</v>
      </c>
      <c r="E571" t="str">
        <f>TRIM(RIGHT(Table1[[#This Row],[Location]],LEN(Table1[[#This Row],[Location]])-FIND(",",Table1[[#This Row],[Location]])))</f>
        <v>California</v>
      </c>
      <c r="F571" t="s">
        <v>742</v>
      </c>
      <c r="G571" t="s">
        <v>45</v>
      </c>
      <c r="H571" t="s">
        <v>26</v>
      </c>
      <c r="I571">
        <v>64577</v>
      </c>
      <c r="J571">
        <v>240</v>
      </c>
      <c r="K571">
        <v>37732</v>
      </c>
      <c r="L571">
        <v>60357</v>
      </c>
      <c r="M571">
        <v>11</v>
      </c>
      <c r="N571">
        <v>1801.3491309999999</v>
      </c>
      <c r="O571" s="7">
        <f>IFERROR(Table1[[#This Row],[Clicks]]/Table1[[#This Row],[Impressions]],0)</f>
        <v>3.7164934883937004E-3</v>
      </c>
      <c r="P571" s="5">
        <f>IFERROR(Table1[[#This Row],[Total Conversions]]/Table1[[#This Row],[Clicks]],0)</f>
        <v>4.583333333333333E-2</v>
      </c>
      <c r="Q571" s="10">
        <f>IFERROR(Table1[[#This Row],[Gross Cost]]/Table1[[#This Row],[Total Conversions]],0)</f>
        <v>163.7590119090909</v>
      </c>
      <c r="R571" s="10">
        <f>IFERROR(Table1[[#This Row],[Gross Cost]]/(Table1[[#This Row],[Impressions]]/1000),0)</f>
        <v>27.894592982021464</v>
      </c>
      <c r="S571" s="5">
        <f>IFERROR(Table1[[#This Row],[Viewable Impressions]]/Table1[[#This Row],[Measurable Impressions]],0)</f>
        <v>0.62514704176814617</v>
      </c>
      <c r="T571" s="10">
        <f>IFERROR(1000*Table1[[#This Row],[Gross Cost]]/Table1[[#This Row],[Viewable Impressions]],0)</f>
        <v>47.740621514894521</v>
      </c>
      <c r="U571" s="10"/>
    </row>
    <row r="572" spans="1:21" x14ac:dyDescent="0.2">
      <c r="A572" t="s">
        <v>632</v>
      </c>
      <c r="B572" t="s">
        <v>14</v>
      </c>
      <c r="C572" t="s">
        <v>41</v>
      </c>
      <c r="D572" t="s">
        <v>38</v>
      </c>
      <c r="E572" t="str">
        <f>TRIM(RIGHT(Table1[[#This Row],[Location]],LEN(Table1[[#This Row],[Location]])-FIND(",",Table1[[#This Row],[Location]])))</f>
        <v>Tennessee</v>
      </c>
      <c r="F572" t="s">
        <v>611</v>
      </c>
      <c r="G572" t="s">
        <v>18</v>
      </c>
      <c r="H572" t="s">
        <v>51</v>
      </c>
      <c r="I572">
        <v>60412</v>
      </c>
      <c r="J572">
        <v>169</v>
      </c>
      <c r="K572">
        <v>33457</v>
      </c>
      <c r="L572">
        <v>52172</v>
      </c>
      <c r="M572">
        <v>24</v>
      </c>
      <c r="N572">
        <v>1679.5727079999999</v>
      </c>
      <c r="O572" s="7">
        <f>IFERROR(Table1[[#This Row],[Clicks]]/Table1[[#This Row],[Impressions]],0)</f>
        <v>2.7974574587830234E-3</v>
      </c>
      <c r="P572" s="5">
        <f>IFERROR(Table1[[#This Row],[Total Conversions]]/Table1[[#This Row],[Clicks]],0)</f>
        <v>0.14201183431952663</v>
      </c>
      <c r="Q572" s="10">
        <f>IFERROR(Table1[[#This Row],[Gross Cost]]/Table1[[#This Row],[Total Conversions]],0)</f>
        <v>69.982196166666668</v>
      </c>
      <c r="R572" s="10">
        <f>IFERROR(Table1[[#This Row],[Gross Cost]]/(Table1[[#This Row],[Impressions]]/1000),0)</f>
        <v>27.801971595047341</v>
      </c>
      <c r="S572" s="5">
        <f>IFERROR(Table1[[#This Row],[Viewable Impressions]]/Table1[[#This Row],[Measurable Impressions]],0)</f>
        <v>0.64128268036494673</v>
      </c>
      <c r="T572" s="10">
        <f>IFERROR(1000*Table1[[#This Row],[Gross Cost]]/Table1[[#This Row],[Viewable Impressions]],0)</f>
        <v>50.200935768299601</v>
      </c>
      <c r="U572" s="10"/>
    </row>
    <row r="573" spans="1:21" x14ac:dyDescent="0.2">
      <c r="A573" t="s">
        <v>402</v>
      </c>
      <c r="B573" t="s">
        <v>21</v>
      </c>
      <c r="C573" t="s">
        <v>30</v>
      </c>
      <c r="D573" t="s">
        <v>83</v>
      </c>
      <c r="E573" t="str">
        <f>TRIM(RIGHT(Table1[[#This Row],[Location]],LEN(Table1[[#This Row],[Location]])-FIND(",",Table1[[#This Row],[Location]])))</f>
        <v>Florida</v>
      </c>
      <c r="F573" t="s">
        <v>403</v>
      </c>
      <c r="G573" t="s">
        <v>18</v>
      </c>
      <c r="H573" t="s">
        <v>26</v>
      </c>
      <c r="I573">
        <v>54134</v>
      </c>
      <c r="J573">
        <v>155</v>
      </c>
      <c r="K573">
        <v>37418</v>
      </c>
      <c r="L573">
        <v>51299</v>
      </c>
      <c r="M573">
        <v>4</v>
      </c>
      <c r="N573">
        <v>1502.01775</v>
      </c>
      <c r="O573" s="7">
        <f>IFERROR(Table1[[#This Row],[Clicks]]/Table1[[#This Row],[Impressions]],0)</f>
        <v>2.8632652307237594E-3</v>
      </c>
      <c r="P573" s="5">
        <f>IFERROR(Table1[[#This Row],[Total Conversions]]/Table1[[#This Row],[Clicks]],0)</f>
        <v>2.5806451612903226E-2</v>
      </c>
      <c r="Q573" s="10">
        <f>IFERROR(Table1[[#This Row],[Gross Cost]]/Table1[[#This Row],[Total Conversions]],0)</f>
        <v>375.50443749999999</v>
      </c>
      <c r="R573" s="10">
        <f>IFERROR(Table1[[#This Row],[Gross Cost]]/(Table1[[#This Row],[Impressions]]/1000),0)</f>
        <v>27.746291609709239</v>
      </c>
      <c r="S573" s="5">
        <f>IFERROR(Table1[[#This Row],[Viewable Impressions]]/Table1[[#This Row],[Measurable Impressions]],0)</f>
        <v>0.72940993001812904</v>
      </c>
      <c r="T573" s="10">
        <f>IFERROR(1000*Table1[[#This Row],[Gross Cost]]/Table1[[#This Row],[Viewable Impressions]],0)</f>
        <v>40.141582928002563</v>
      </c>
      <c r="U573" s="10"/>
    </row>
    <row r="574" spans="1:21" x14ac:dyDescent="0.2">
      <c r="A574" t="s">
        <v>713</v>
      </c>
      <c r="B574" t="s">
        <v>21</v>
      </c>
      <c r="C574" t="s">
        <v>41</v>
      </c>
      <c r="D574" t="s">
        <v>213</v>
      </c>
      <c r="E574" t="str">
        <f>TRIM(RIGHT(Table1[[#This Row],[Location]],LEN(Table1[[#This Row],[Location]])-FIND(",",Table1[[#This Row],[Location]])))</f>
        <v>South Carolina</v>
      </c>
      <c r="F574" t="s">
        <v>701</v>
      </c>
      <c r="G574" t="s">
        <v>18</v>
      </c>
      <c r="H574" t="s">
        <v>26</v>
      </c>
      <c r="I574">
        <v>55274</v>
      </c>
      <c r="J574">
        <v>219</v>
      </c>
      <c r="K574">
        <v>47583</v>
      </c>
      <c r="L574">
        <v>51275</v>
      </c>
      <c r="M574">
        <v>3</v>
      </c>
      <c r="N574">
        <v>1532.7579049999999</v>
      </c>
      <c r="O574" s="7">
        <f>IFERROR(Table1[[#This Row],[Clicks]]/Table1[[#This Row],[Impressions]],0)</f>
        <v>3.9620798205304486E-3</v>
      </c>
      <c r="P574" s="5">
        <f>IFERROR(Table1[[#This Row],[Total Conversions]]/Table1[[#This Row],[Clicks]],0)</f>
        <v>1.3698630136986301E-2</v>
      </c>
      <c r="Q574" s="10">
        <f>IFERROR(Table1[[#This Row],[Gross Cost]]/Table1[[#This Row],[Total Conversions]],0)</f>
        <v>510.91930166666663</v>
      </c>
      <c r="R574" s="10">
        <f>IFERROR(Table1[[#This Row],[Gross Cost]]/(Table1[[#This Row],[Impressions]]/1000),0)</f>
        <v>27.730178836342581</v>
      </c>
      <c r="S574" s="5">
        <f>IFERROR(Table1[[#This Row],[Viewable Impressions]]/Table1[[#This Row],[Measurable Impressions]],0)</f>
        <v>0.92799609946367623</v>
      </c>
      <c r="T574" s="10">
        <f>IFERROR(1000*Table1[[#This Row],[Gross Cost]]/Table1[[#This Row],[Viewable Impressions]],0)</f>
        <v>32.212300716642496</v>
      </c>
      <c r="U574" s="10"/>
    </row>
    <row r="575" spans="1:21" x14ac:dyDescent="0.2">
      <c r="A575" t="s">
        <v>608</v>
      </c>
      <c r="B575" t="s">
        <v>14</v>
      </c>
      <c r="C575" t="s">
        <v>41</v>
      </c>
      <c r="D575" t="s">
        <v>130</v>
      </c>
      <c r="E575" t="str">
        <f>TRIM(RIGHT(Table1[[#This Row],[Location]],LEN(Table1[[#This Row],[Location]])-FIND(",",Table1[[#This Row],[Location]])))</f>
        <v>Michigan</v>
      </c>
      <c r="F575" t="s">
        <v>609</v>
      </c>
      <c r="G575" t="s">
        <v>25</v>
      </c>
      <c r="H575" t="s">
        <v>51</v>
      </c>
      <c r="I575">
        <v>70506</v>
      </c>
      <c r="J575">
        <v>270</v>
      </c>
      <c r="K575">
        <v>26779</v>
      </c>
      <c r="L575">
        <v>48902</v>
      </c>
      <c r="M575">
        <v>3</v>
      </c>
      <c r="N575">
        <v>1912.9668819999999</v>
      </c>
      <c r="O575" s="7">
        <f>IFERROR(Table1[[#This Row],[Clicks]]/Table1[[#This Row],[Impressions]],0)</f>
        <v>3.8294613224406433E-3</v>
      </c>
      <c r="P575" s="5">
        <f>IFERROR(Table1[[#This Row],[Total Conversions]]/Table1[[#This Row],[Clicks]],0)</f>
        <v>1.1111111111111112E-2</v>
      </c>
      <c r="Q575" s="10">
        <f>IFERROR(Table1[[#This Row],[Gross Cost]]/Table1[[#This Row],[Total Conversions]],0)</f>
        <v>637.65562733333331</v>
      </c>
      <c r="R575" s="10">
        <f>IFERROR(Table1[[#This Row],[Gross Cost]]/(Table1[[#This Row],[Impressions]]/1000),0)</f>
        <v>27.131972910106942</v>
      </c>
      <c r="S575" s="5">
        <f>IFERROR(Table1[[#This Row],[Viewable Impressions]]/Table1[[#This Row],[Measurable Impressions]],0)</f>
        <v>0.54760541491145553</v>
      </c>
      <c r="T575" s="10">
        <f>IFERROR(1000*Table1[[#This Row],[Gross Cost]]/Table1[[#This Row],[Viewable Impressions]],0)</f>
        <v>71.435336719070918</v>
      </c>
      <c r="U575" s="10"/>
    </row>
    <row r="576" spans="1:21" x14ac:dyDescent="0.2">
      <c r="A576" t="s">
        <v>1011</v>
      </c>
      <c r="B576" t="s">
        <v>14</v>
      </c>
      <c r="C576" t="s">
        <v>30</v>
      </c>
      <c r="D576" t="s">
        <v>44</v>
      </c>
      <c r="E576" t="str">
        <f>TRIM(RIGHT(Table1[[#This Row],[Location]],LEN(Table1[[#This Row],[Location]])-FIND(",",Table1[[#This Row],[Location]])))</f>
        <v>Florida</v>
      </c>
      <c r="F576" t="s">
        <v>991</v>
      </c>
      <c r="G576" t="s">
        <v>45</v>
      </c>
      <c r="H576" t="s">
        <v>51</v>
      </c>
      <c r="I576">
        <v>59296</v>
      </c>
      <c r="J576">
        <v>170</v>
      </c>
      <c r="K576">
        <v>25482</v>
      </c>
      <c r="L576">
        <v>54149</v>
      </c>
      <c r="M576">
        <v>4</v>
      </c>
      <c r="N576">
        <v>1568.7152590000001</v>
      </c>
      <c r="O576" s="7">
        <f>IFERROR(Table1[[#This Row],[Clicks]]/Table1[[#This Row],[Impressions]],0)</f>
        <v>2.8669724770642203E-3</v>
      </c>
      <c r="P576" s="5">
        <f>IFERROR(Table1[[#This Row],[Total Conversions]]/Table1[[#This Row],[Clicks]],0)</f>
        <v>2.3529411764705882E-2</v>
      </c>
      <c r="Q576" s="10">
        <f>IFERROR(Table1[[#This Row],[Gross Cost]]/Table1[[#This Row],[Total Conversions]],0)</f>
        <v>392.17881475000002</v>
      </c>
      <c r="R576" s="10">
        <f>IFERROR(Table1[[#This Row],[Gross Cost]]/(Table1[[#This Row],[Impressions]]/1000),0)</f>
        <v>26.455667481786293</v>
      </c>
      <c r="S576" s="5">
        <f>IFERROR(Table1[[#This Row],[Viewable Impressions]]/Table1[[#This Row],[Measurable Impressions]],0)</f>
        <v>0.47059040794843859</v>
      </c>
      <c r="T576" s="10">
        <f>IFERROR(1000*Table1[[#This Row],[Gross Cost]]/Table1[[#This Row],[Viewable Impressions]],0)</f>
        <v>61.5617007691704</v>
      </c>
      <c r="U576" s="10"/>
    </row>
    <row r="577" spans="1:21" x14ac:dyDescent="0.2">
      <c r="A577" t="s">
        <v>206</v>
      </c>
      <c r="B577" t="s">
        <v>21</v>
      </c>
      <c r="C577" t="s">
        <v>15</v>
      </c>
      <c r="D577" t="s">
        <v>54</v>
      </c>
      <c r="E577" t="str">
        <f>TRIM(RIGHT(Table1[[#This Row],[Location]],LEN(Table1[[#This Row],[Location]])-FIND(",",Table1[[#This Row],[Location]])))</f>
        <v>Florida</v>
      </c>
      <c r="F577" t="s">
        <v>196</v>
      </c>
      <c r="G577" t="s">
        <v>135</v>
      </c>
      <c r="H577" t="s">
        <v>26</v>
      </c>
      <c r="I577">
        <v>69540</v>
      </c>
      <c r="J577">
        <v>204</v>
      </c>
      <c r="K577">
        <v>28713</v>
      </c>
      <c r="L577">
        <v>62829</v>
      </c>
      <c r="M577">
        <v>15</v>
      </c>
      <c r="N577">
        <v>1838.9877300000001</v>
      </c>
      <c r="O577" s="7">
        <f>IFERROR(Table1[[#This Row],[Clicks]]/Table1[[#This Row],[Impressions]],0)</f>
        <v>2.9335634167385678E-3</v>
      </c>
      <c r="P577" s="5">
        <f>IFERROR(Table1[[#This Row],[Total Conversions]]/Table1[[#This Row],[Clicks]],0)</f>
        <v>7.3529411764705885E-2</v>
      </c>
      <c r="Q577" s="10">
        <f>IFERROR(Table1[[#This Row],[Gross Cost]]/Table1[[#This Row],[Total Conversions]],0)</f>
        <v>122.599182</v>
      </c>
      <c r="R577" s="10">
        <f>IFERROR(Table1[[#This Row],[Gross Cost]]/(Table1[[#This Row],[Impressions]]/1000),0)</f>
        <v>26.445034943917168</v>
      </c>
      <c r="S577" s="5">
        <f>IFERROR(Table1[[#This Row],[Viewable Impressions]]/Table1[[#This Row],[Measurable Impressions]],0)</f>
        <v>0.45700233968390391</v>
      </c>
      <c r="T577" s="10">
        <f>IFERROR(1000*Table1[[#This Row],[Gross Cost]]/Table1[[#This Row],[Viewable Impressions]],0)</f>
        <v>64.047216591787688</v>
      </c>
      <c r="U577" s="10"/>
    </row>
    <row r="578" spans="1:21" x14ac:dyDescent="0.2">
      <c r="A578" t="s">
        <v>930</v>
      </c>
      <c r="B578" t="s">
        <v>14</v>
      </c>
      <c r="C578" t="s">
        <v>15</v>
      </c>
      <c r="D578" t="s">
        <v>77</v>
      </c>
      <c r="E578" t="str">
        <f>TRIM(RIGHT(Table1[[#This Row],[Location]],LEN(Table1[[#This Row],[Location]])-FIND(",",Table1[[#This Row],[Location]])))</f>
        <v>New York</v>
      </c>
      <c r="F578" t="s">
        <v>918</v>
      </c>
      <c r="G578" t="s">
        <v>18</v>
      </c>
      <c r="H578" t="s">
        <v>26</v>
      </c>
      <c r="I578">
        <v>198163</v>
      </c>
      <c r="J578">
        <v>469</v>
      </c>
      <c r="K578">
        <v>76695</v>
      </c>
      <c r="L578">
        <v>183585</v>
      </c>
      <c r="M578">
        <v>31</v>
      </c>
      <c r="N578">
        <v>5204.313768</v>
      </c>
      <c r="O578" s="7">
        <f>IFERROR(Table1[[#This Row],[Clicks]]/Table1[[#This Row],[Impressions]],0)</f>
        <v>2.3667384930587446E-3</v>
      </c>
      <c r="P578" s="5">
        <f>IFERROR(Table1[[#This Row],[Total Conversions]]/Table1[[#This Row],[Clicks]],0)</f>
        <v>6.6098081023454158E-2</v>
      </c>
      <c r="Q578" s="10">
        <f>IFERROR(Table1[[#This Row],[Gross Cost]]/Table1[[#This Row],[Total Conversions]],0)</f>
        <v>167.88108929032259</v>
      </c>
      <c r="R578" s="10">
        <f>IFERROR(Table1[[#This Row],[Gross Cost]]/(Table1[[#This Row],[Impressions]]/1000),0)</f>
        <v>26.262792589938584</v>
      </c>
      <c r="S578" s="5">
        <f>IFERROR(Table1[[#This Row],[Viewable Impressions]]/Table1[[#This Row],[Measurable Impressions]],0)</f>
        <v>0.41776288912492848</v>
      </c>
      <c r="T578" s="10">
        <f>IFERROR(1000*Table1[[#This Row],[Gross Cost]]/Table1[[#This Row],[Viewable Impressions]],0)</f>
        <v>67.857275806767063</v>
      </c>
      <c r="U578" s="10"/>
    </row>
    <row r="579" spans="1:21" x14ac:dyDescent="0.2">
      <c r="A579" t="s">
        <v>317</v>
      </c>
      <c r="B579" t="s">
        <v>14</v>
      </c>
      <c r="C579" t="s">
        <v>30</v>
      </c>
      <c r="D579" t="s">
        <v>94</v>
      </c>
      <c r="E579" t="str">
        <f>TRIM(RIGHT(Table1[[#This Row],[Location]],LEN(Table1[[#This Row],[Location]])-FIND(",",Table1[[#This Row],[Location]])))</f>
        <v>Florida</v>
      </c>
      <c r="F579" t="s">
        <v>296</v>
      </c>
      <c r="G579" t="s">
        <v>25</v>
      </c>
      <c r="H579" t="s">
        <v>51</v>
      </c>
      <c r="I579">
        <v>61442</v>
      </c>
      <c r="J579">
        <v>190</v>
      </c>
      <c r="K579">
        <v>17048</v>
      </c>
      <c r="L579">
        <v>54166</v>
      </c>
      <c r="M579">
        <v>1</v>
      </c>
      <c r="N579">
        <v>1609.1499329999999</v>
      </c>
      <c r="O579" s="7">
        <f>IFERROR(Table1[[#This Row],[Clicks]]/Table1[[#This Row],[Impressions]],0)</f>
        <v>3.0923472543211484E-3</v>
      </c>
      <c r="P579" s="5">
        <f>IFERROR(Table1[[#This Row],[Total Conversions]]/Table1[[#This Row],[Clicks]],0)</f>
        <v>5.263157894736842E-3</v>
      </c>
      <c r="Q579" s="10">
        <f>IFERROR(Table1[[#This Row],[Gross Cost]]/Table1[[#This Row],[Total Conversions]],0)</f>
        <v>1609.1499329999999</v>
      </c>
      <c r="R579" s="10">
        <f>IFERROR(Table1[[#This Row],[Gross Cost]]/(Table1[[#This Row],[Impressions]]/1000),0)</f>
        <v>26.189738826861102</v>
      </c>
      <c r="S579" s="5">
        <f>IFERROR(Table1[[#This Row],[Viewable Impressions]]/Table1[[#This Row],[Measurable Impressions]],0)</f>
        <v>0.31473618136838605</v>
      </c>
      <c r="T579" s="10">
        <f>IFERROR(1000*Table1[[#This Row],[Gross Cost]]/Table1[[#This Row],[Viewable Impressions]],0)</f>
        <v>94.389367257156266</v>
      </c>
      <c r="U579" s="10"/>
    </row>
    <row r="580" spans="1:21" x14ac:dyDescent="0.2">
      <c r="A580" t="s">
        <v>755</v>
      </c>
      <c r="B580" t="s">
        <v>21</v>
      </c>
      <c r="C580" t="s">
        <v>22</v>
      </c>
      <c r="D580" t="s">
        <v>34</v>
      </c>
      <c r="E580" t="str">
        <f>TRIM(RIGHT(Table1[[#This Row],[Location]],LEN(Table1[[#This Row],[Location]])-FIND(",",Table1[[#This Row],[Location]])))</f>
        <v>Illinois</v>
      </c>
      <c r="F580" t="s">
        <v>742</v>
      </c>
      <c r="G580" t="s">
        <v>18</v>
      </c>
      <c r="H580" t="s">
        <v>26</v>
      </c>
      <c r="I580">
        <v>85280</v>
      </c>
      <c r="J580">
        <v>211</v>
      </c>
      <c r="K580">
        <v>35860</v>
      </c>
      <c r="L580">
        <v>79837</v>
      </c>
      <c r="M580">
        <v>5</v>
      </c>
      <c r="N580">
        <v>2217.932092</v>
      </c>
      <c r="O580" s="7">
        <f>IFERROR(Table1[[#This Row],[Clicks]]/Table1[[#This Row],[Impressions]],0)</f>
        <v>2.4742026266416509E-3</v>
      </c>
      <c r="P580" s="5">
        <f>IFERROR(Table1[[#This Row],[Total Conversions]]/Table1[[#This Row],[Clicks]],0)</f>
        <v>2.3696682464454975E-2</v>
      </c>
      <c r="Q580" s="10">
        <f>IFERROR(Table1[[#This Row],[Gross Cost]]/Table1[[#This Row],[Total Conversions]],0)</f>
        <v>443.58641840000001</v>
      </c>
      <c r="R580" s="10">
        <f>IFERROR(Table1[[#This Row],[Gross Cost]]/(Table1[[#This Row],[Impressions]]/1000),0)</f>
        <v>26.007646482176359</v>
      </c>
      <c r="S580" s="5">
        <f>IFERROR(Table1[[#This Row],[Viewable Impressions]]/Table1[[#This Row],[Measurable Impressions]],0)</f>
        <v>0.44916517404211082</v>
      </c>
      <c r="T580" s="10">
        <f>IFERROR(1000*Table1[[#This Row],[Gross Cost]]/Table1[[#This Row],[Viewable Impressions]],0)</f>
        <v>61.849751589514781</v>
      </c>
      <c r="U580" s="10"/>
    </row>
    <row r="581" spans="1:21" x14ac:dyDescent="0.2">
      <c r="A581" t="s">
        <v>1006</v>
      </c>
      <c r="B581" t="s">
        <v>14</v>
      </c>
      <c r="C581" t="s">
        <v>22</v>
      </c>
      <c r="D581" t="s">
        <v>16</v>
      </c>
      <c r="E581" t="str">
        <f>TRIM(RIGHT(Table1[[#This Row],[Location]],LEN(Table1[[#This Row],[Location]])-FIND(",",Table1[[#This Row],[Location]])))</f>
        <v>California</v>
      </c>
      <c r="F581" t="s">
        <v>991</v>
      </c>
      <c r="G581" t="s">
        <v>18</v>
      </c>
      <c r="H581" t="s">
        <v>51</v>
      </c>
      <c r="I581">
        <v>74164</v>
      </c>
      <c r="J581">
        <v>241</v>
      </c>
      <c r="K581">
        <v>25104</v>
      </c>
      <c r="L581">
        <v>61242</v>
      </c>
      <c r="M581">
        <v>19</v>
      </c>
      <c r="N581">
        <v>1902.3014430000001</v>
      </c>
      <c r="O581" s="7">
        <f>IFERROR(Table1[[#This Row],[Clicks]]/Table1[[#This Row],[Impressions]],0)</f>
        <v>3.2495550401812198E-3</v>
      </c>
      <c r="P581" s="5">
        <f>IFERROR(Table1[[#This Row],[Total Conversions]]/Table1[[#This Row],[Clicks]],0)</f>
        <v>7.8838174273858919E-2</v>
      </c>
      <c r="Q581" s="10">
        <f>IFERROR(Table1[[#This Row],[Gross Cost]]/Table1[[#This Row],[Total Conversions]],0)</f>
        <v>100.12112857894738</v>
      </c>
      <c r="R581" s="10">
        <f>IFERROR(Table1[[#This Row],[Gross Cost]]/(Table1[[#This Row],[Impressions]]/1000),0)</f>
        <v>25.649930464915592</v>
      </c>
      <c r="S581" s="5">
        <f>IFERROR(Table1[[#This Row],[Viewable Impressions]]/Table1[[#This Row],[Measurable Impressions]],0)</f>
        <v>0.40991476437738805</v>
      </c>
      <c r="T581" s="10">
        <f>IFERROR(1000*Table1[[#This Row],[Gross Cost]]/Table1[[#This Row],[Viewable Impressions]],0)</f>
        <v>75.776826123326956</v>
      </c>
      <c r="U581" s="10"/>
    </row>
    <row r="582" spans="1:21" x14ac:dyDescent="0.2">
      <c r="A582" t="s">
        <v>631</v>
      </c>
      <c r="B582" t="s">
        <v>21</v>
      </c>
      <c r="C582" t="s">
        <v>30</v>
      </c>
      <c r="D582" t="s">
        <v>34</v>
      </c>
      <c r="E582" t="str">
        <f>TRIM(RIGHT(Table1[[#This Row],[Location]],LEN(Table1[[#This Row],[Location]])-FIND(",",Table1[[#This Row],[Location]])))</f>
        <v>Illinois</v>
      </c>
      <c r="F582" t="s">
        <v>611</v>
      </c>
      <c r="G582" t="s">
        <v>18</v>
      </c>
      <c r="H582" t="s">
        <v>26</v>
      </c>
      <c r="I582">
        <v>80456</v>
      </c>
      <c r="J582">
        <v>204</v>
      </c>
      <c r="K582">
        <v>46039</v>
      </c>
      <c r="L582">
        <v>65383</v>
      </c>
      <c r="M582">
        <v>3</v>
      </c>
      <c r="N582">
        <v>2039.848792</v>
      </c>
      <c r="O582" s="7">
        <f>IFERROR(Table1[[#This Row],[Clicks]]/Table1[[#This Row],[Impressions]],0)</f>
        <v>2.5355473799343739E-3</v>
      </c>
      <c r="P582" s="5">
        <f>IFERROR(Table1[[#This Row],[Total Conversions]]/Table1[[#This Row],[Clicks]],0)</f>
        <v>1.4705882352941176E-2</v>
      </c>
      <c r="Q582" s="10">
        <f>IFERROR(Table1[[#This Row],[Gross Cost]]/Table1[[#This Row],[Total Conversions]],0)</f>
        <v>679.94959733333337</v>
      </c>
      <c r="R582" s="10">
        <f>IFERROR(Table1[[#This Row],[Gross Cost]]/(Table1[[#This Row],[Impressions]]/1000),0)</f>
        <v>25.353594411852441</v>
      </c>
      <c r="S582" s="5">
        <f>IFERROR(Table1[[#This Row],[Viewable Impressions]]/Table1[[#This Row],[Measurable Impressions]],0)</f>
        <v>0.70414327883394767</v>
      </c>
      <c r="T582" s="10">
        <f>IFERROR(1000*Table1[[#This Row],[Gross Cost]]/Table1[[#This Row],[Viewable Impressions]],0)</f>
        <v>44.306974347835528</v>
      </c>
      <c r="U582" s="10"/>
    </row>
    <row r="583" spans="1:21" x14ac:dyDescent="0.2">
      <c r="A583" t="s">
        <v>549</v>
      </c>
      <c r="B583" t="s">
        <v>21</v>
      </c>
      <c r="C583" t="s">
        <v>41</v>
      </c>
      <c r="D583" t="s">
        <v>120</v>
      </c>
      <c r="E583" t="str">
        <f>TRIM(RIGHT(Table1[[#This Row],[Location]],LEN(Table1[[#This Row],[Location]])-FIND(",",Table1[[#This Row],[Location]])))</f>
        <v>Georgia</v>
      </c>
      <c r="F583" t="s">
        <v>538</v>
      </c>
      <c r="G583" t="s">
        <v>25</v>
      </c>
      <c r="H583" t="s">
        <v>26</v>
      </c>
      <c r="I583">
        <v>207685</v>
      </c>
      <c r="J583">
        <v>512</v>
      </c>
      <c r="K583">
        <v>20134</v>
      </c>
      <c r="L583">
        <v>30708</v>
      </c>
      <c r="M583">
        <v>34</v>
      </c>
      <c r="N583">
        <v>5239.2047869999997</v>
      </c>
      <c r="O583" s="7">
        <f>IFERROR(Table1[[#This Row],[Clicks]]/Table1[[#This Row],[Impressions]],0)</f>
        <v>2.4652719262344418E-3</v>
      </c>
      <c r="P583" s="5">
        <f>IFERROR(Table1[[#This Row],[Total Conversions]]/Table1[[#This Row],[Clicks]],0)</f>
        <v>6.640625E-2</v>
      </c>
      <c r="Q583" s="10">
        <f>IFERROR(Table1[[#This Row],[Gross Cost]]/Table1[[#This Row],[Total Conversions]],0)</f>
        <v>154.09425844117646</v>
      </c>
      <c r="R583" s="10">
        <f>IFERROR(Table1[[#This Row],[Gross Cost]]/(Table1[[#This Row],[Impressions]]/1000),0)</f>
        <v>25.226688432000383</v>
      </c>
      <c r="S583" s="5">
        <f>IFERROR(Table1[[#This Row],[Viewable Impressions]]/Table1[[#This Row],[Measurable Impressions]],0)</f>
        <v>0.65565976292822714</v>
      </c>
      <c r="T583" s="10">
        <f>IFERROR(1000*Table1[[#This Row],[Gross Cost]]/Table1[[#This Row],[Viewable Impressions]],0)</f>
        <v>260.21678687791791</v>
      </c>
      <c r="U583" s="10"/>
    </row>
    <row r="584" spans="1:21" x14ac:dyDescent="0.2">
      <c r="A584" t="s">
        <v>902</v>
      </c>
      <c r="B584" t="s">
        <v>14</v>
      </c>
      <c r="C584" t="s">
        <v>22</v>
      </c>
      <c r="D584" t="s">
        <v>77</v>
      </c>
      <c r="E584" t="str">
        <f>TRIM(RIGHT(Table1[[#This Row],[Location]],LEN(Table1[[#This Row],[Location]])-FIND(",",Table1[[#This Row],[Location]])))</f>
        <v>New York</v>
      </c>
      <c r="F584" t="s">
        <v>899</v>
      </c>
      <c r="G584" t="s">
        <v>18</v>
      </c>
      <c r="H584" t="s">
        <v>26</v>
      </c>
      <c r="I584">
        <v>186404</v>
      </c>
      <c r="J584">
        <v>940</v>
      </c>
      <c r="K584">
        <v>30885</v>
      </c>
      <c r="L584">
        <v>151358</v>
      </c>
      <c r="M584">
        <v>3</v>
      </c>
      <c r="N584">
        <v>4702.027505</v>
      </c>
      <c r="O584" s="7">
        <f>IFERROR(Table1[[#This Row],[Clicks]]/Table1[[#This Row],[Impressions]],0)</f>
        <v>5.0428102401236024E-3</v>
      </c>
      <c r="P584" s="5">
        <f>IFERROR(Table1[[#This Row],[Total Conversions]]/Table1[[#This Row],[Clicks]],0)</f>
        <v>3.1914893617021275E-3</v>
      </c>
      <c r="Q584" s="10">
        <f>IFERROR(Table1[[#This Row],[Gross Cost]]/Table1[[#This Row],[Total Conversions]],0)</f>
        <v>1567.3425016666667</v>
      </c>
      <c r="R584" s="10">
        <f>IFERROR(Table1[[#This Row],[Gross Cost]]/(Table1[[#This Row],[Impressions]]/1000),0)</f>
        <v>25.224928139954081</v>
      </c>
      <c r="S584" s="5">
        <f>IFERROR(Table1[[#This Row],[Viewable Impressions]]/Table1[[#This Row],[Measurable Impressions]],0)</f>
        <v>0.20405264340173629</v>
      </c>
      <c r="T584" s="10">
        <f>IFERROR(1000*Table1[[#This Row],[Gross Cost]]/Table1[[#This Row],[Viewable Impressions]],0)</f>
        <v>152.24307932653392</v>
      </c>
      <c r="U584" s="10"/>
    </row>
    <row r="585" spans="1:21" x14ac:dyDescent="0.2">
      <c r="A585" t="s">
        <v>508</v>
      </c>
      <c r="B585" t="s">
        <v>21</v>
      </c>
      <c r="C585" t="s">
        <v>41</v>
      </c>
      <c r="D585" t="s">
        <v>470</v>
      </c>
      <c r="E585" t="str">
        <f>TRIM(RIGHT(Table1[[#This Row],[Location]],LEN(Table1[[#This Row],[Location]])-FIND(",",Table1[[#This Row],[Location]])))</f>
        <v>Florida</v>
      </c>
      <c r="F585" t="s">
        <v>507</v>
      </c>
      <c r="G585" t="s">
        <v>47</v>
      </c>
      <c r="H585" t="s">
        <v>26</v>
      </c>
      <c r="I585">
        <v>190592</v>
      </c>
      <c r="J585">
        <v>601</v>
      </c>
      <c r="K585">
        <v>28906</v>
      </c>
      <c r="L585">
        <v>172515</v>
      </c>
      <c r="M585">
        <v>25</v>
      </c>
      <c r="N585">
        <v>4742.0477659999997</v>
      </c>
      <c r="O585" s="7">
        <f>IFERROR(Table1[[#This Row],[Clicks]]/Table1[[#This Row],[Impressions]],0)</f>
        <v>3.1533327736736065E-3</v>
      </c>
      <c r="P585" s="5">
        <f>IFERROR(Table1[[#This Row],[Total Conversions]]/Table1[[#This Row],[Clicks]],0)</f>
        <v>4.1597337770382693E-2</v>
      </c>
      <c r="Q585" s="10">
        <f>IFERROR(Table1[[#This Row],[Gross Cost]]/Table1[[#This Row],[Total Conversions]],0)</f>
        <v>189.68191063999998</v>
      </c>
      <c r="R585" s="10">
        <f>IFERROR(Table1[[#This Row],[Gross Cost]]/(Table1[[#This Row],[Impressions]]/1000),0)</f>
        <v>24.880623352501676</v>
      </c>
      <c r="S585" s="5">
        <f>IFERROR(Table1[[#This Row],[Viewable Impressions]]/Table1[[#This Row],[Measurable Impressions]],0)</f>
        <v>0.16755644436715647</v>
      </c>
      <c r="T585" s="10">
        <f>IFERROR(1000*Table1[[#This Row],[Gross Cost]]/Table1[[#This Row],[Viewable Impressions]],0)</f>
        <v>164.05063882930878</v>
      </c>
      <c r="U585" s="10"/>
    </row>
    <row r="586" spans="1:21" x14ac:dyDescent="0.2">
      <c r="A586" t="s">
        <v>1030</v>
      </c>
      <c r="B586" t="s">
        <v>21</v>
      </c>
      <c r="C586" t="s">
        <v>30</v>
      </c>
      <c r="D586" t="s">
        <v>16</v>
      </c>
      <c r="E586" t="str">
        <f>TRIM(RIGHT(Table1[[#This Row],[Location]],LEN(Table1[[#This Row],[Location]])-FIND(",",Table1[[#This Row],[Location]])))</f>
        <v>California</v>
      </c>
      <c r="F586" t="s">
        <v>1031</v>
      </c>
      <c r="G586" t="s">
        <v>18</v>
      </c>
      <c r="H586" t="s">
        <v>26</v>
      </c>
      <c r="I586">
        <v>318269</v>
      </c>
      <c r="J586">
        <v>914</v>
      </c>
      <c r="K586">
        <v>33355</v>
      </c>
      <c r="L586">
        <v>295405</v>
      </c>
      <c r="M586">
        <v>44</v>
      </c>
      <c r="N586">
        <v>7854.7319909999997</v>
      </c>
      <c r="O586" s="7">
        <f>IFERROR(Table1[[#This Row],[Clicks]]/Table1[[#This Row],[Impressions]],0)</f>
        <v>2.8717845596020978E-3</v>
      </c>
      <c r="P586" s="5">
        <f>IFERROR(Table1[[#This Row],[Total Conversions]]/Table1[[#This Row],[Clicks]],0)</f>
        <v>4.8140043763676151E-2</v>
      </c>
      <c r="Q586" s="10">
        <f>IFERROR(Table1[[#This Row],[Gross Cost]]/Table1[[#This Row],[Total Conversions]],0)</f>
        <v>178.51663615909089</v>
      </c>
      <c r="R586" s="10">
        <f>IFERROR(Table1[[#This Row],[Gross Cost]]/(Table1[[#This Row],[Impressions]]/1000),0)</f>
        <v>24.679538349635056</v>
      </c>
      <c r="S586" s="5">
        <f>IFERROR(Table1[[#This Row],[Viewable Impressions]]/Table1[[#This Row],[Measurable Impressions]],0)</f>
        <v>0.11291278075861952</v>
      </c>
      <c r="T586" s="10">
        <f>IFERROR(1000*Table1[[#This Row],[Gross Cost]]/Table1[[#This Row],[Viewable Impressions]],0)</f>
        <v>235.48889195023233</v>
      </c>
      <c r="U586" s="10"/>
    </row>
    <row r="587" spans="1:21" x14ac:dyDescent="0.2">
      <c r="A587" t="s">
        <v>163</v>
      </c>
      <c r="B587" t="s">
        <v>21</v>
      </c>
      <c r="C587" t="s">
        <v>15</v>
      </c>
      <c r="D587" t="s">
        <v>16</v>
      </c>
      <c r="E587" t="str">
        <f>TRIM(RIGHT(Table1[[#This Row],[Location]],LEN(Table1[[#This Row],[Location]])-FIND(",",Table1[[#This Row],[Location]])))</f>
        <v>California</v>
      </c>
      <c r="F587" t="s">
        <v>159</v>
      </c>
      <c r="G587" t="s">
        <v>18</v>
      </c>
      <c r="H587" t="s">
        <v>26</v>
      </c>
      <c r="I587">
        <v>59782</v>
      </c>
      <c r="J587">
        <v>212</v>
      </c>
      <c r="K587">
        <v>28235</v>
      </c>
      <c r="L587">
        <v>57543</v>
      </c>
      <c r="M587">
        <v>13</v>
      </c>
      <c r="N587">
        <v>1455.7035539999999</v>
      </c>
      <c r="O587" s="7">
        <f>IFERROR(Table1[[#This Row],[Clicks]]/Table1[[#This Row],[Impressions]],0)</f>
        <v>3.5462179251279651E-3</v>
      </c>
      <c r="P587" s="5">
        <f>IFERROR(Table1[[#This Row],[Total Conversions]]/Table1[[#This Row],[Clicks]],0)</f>
        <v>6.1320754716981132E-2</v>
      </c>
      <c r="Q587" s="10">
        <f>IFERROR(Table1[[#This Row],[Gross Cost]]/Table1[[#This Row],[Total Conversions]],0)</f>
        <v>111.97719646153845</v>
      </c>
      <c r="R587" s="10">
        <f>IFERROR(Table1[[#This Row],[Gross Cost]]/(Table1[[#This Row],[Impressions]]/1000),0)</f>
        <v>24.350198287109833</v>
      </c>
      <c r="S587" s="5">
        <f>IFERROR(Table1[[#This Row],[Viewable Impressions]]/Table1[[#This Row],[Measurable Impressions]],0)</f>
        <v>0.49067653754583529</v>
      </c>
      <c r="T587" s="10">
        <f>IFERROR(1000*Table1[[#This Row],[Gross Cost]]/Table1[[#This Row],[Viewable Impressions]],0)</f>
        <v>51.556704586506108</v>
      </c>
      <c r="U587" s="10"/>
    </row>
    <row r="588" spans="1:21" x14ac:dyDescent="0.2">
      <c r="A588" t="s">
        <v>298</v>
      </c>
      <c r="B588" t="s">
        <v>14</v>
      </c>
      <c r="C588" t="s">
        <v>30</v>
      </c>
      <c r="D588" t="s">
        <v>77</v>
      </c>
      <c r="E588" t="str">
        <f>TRIM(RIGHT(Table1[[#This Row],[Location]],LEN(Table1[[#This Row],[Location]])-FIND(",",Table1[[#This Row],[Location]])))</f>
        <v>New York</v>
      </c>
      <c r="F588" t="s">
        <v>296</v>
      </c>
      <c r="G588" t="s">
        <v>18</v>
      </c>
      <c r="H588" t="s">
        <v>26</v>
      </c>
      <c r="I588">
        <v>325152</v>
      </c>
      <c r="J588">
        <v>854</v>
      </c>
      <c r="K588">
        <v>138319</v>
      </c>
      <c r="L588">
        <v>300133</v>
      </c>
      <c r="M588">
        <v>55</v>
      </c>
      <c r="N588">
        <v>7887.6126619999995</v>
      </c>
      <c r="O588" s="7">
        <f>IFERROR(Table1[[#This Row],[Clicks]]/Table1[[#This Row],[Impressions]],0)</f>
        <v>2.6264639307154807E-3</v>
      </c>
      <c r="P588" s="5">
        <f>IFERROR(Table1[[#This Row],[Total Conversions]]/Table1[[#This Row],[Clicks]],0)</f>
        <v>6.4402810304449651E-2</v>
      </c>
      <c r="Q588" s="10">
        <f>IFERROR(Table1[[#This Row],[Gross Cost]]/Table1[[#This Row],[Total Conversions]],0)</f>
        <v>143.41113930909091</v>
      </c>
      <c r="R588" s="10">
        <f>IFERROR(Table1[[#This Row],[Gross Cost]]/(Table1[[#This Row],[Impressions]]/1000),0)</f>
        <v>24.258232033018402</v>
      </c>
      <c r="S588" s="5">
        <f>IFERROR(Table1[[#This Row],[Viewable Impressions]]/Table1[[#This Row],[Measurable Impressions]],0)</f>
        <v>0.46085901916816879</v>
      </c>
      <c r="T588" s="10">
        <f>IFERROR(1000*Table1[[#This Row],[Gross Cost]]/Table1[[#This Row],[Viewable Impressions]],0)</f>
        <v>57.024795306501638</v>
      </c>
      <c r="U588" s="10"/>
    </row>
    <row r="589" spans="1:21" x14ac:dyDescent="0.2">
      <c r="A589" t="s">
        <v>207</v>
      </c>
      <c r="B589" t="s">
        <v>14</v>
      </c>
      <c r="C589" t="s">
        <v>22</v>
      </c>
      <c r="D589" t="s">
        <v>77</v>
      </c>
      <c r="E589" t="str">
        <f>TRIM(RIGHT(Table1[[#This Row],[Location]],LEN(Table1[[#This Row],[Location]])-FIND(",",Table1[[#This Row],[Location]])))</f>
        <v>New York</v>
      </c>
      <c r="F589" t="s">
        <v>196</v>
      </c>
      <c r="G589" t="s">
        <v>18</v>
      </c>
      <c r="H589" t="s">
        <v>51</v>
      </c>
      <c r="I589">
        <v>65983</v>
      </c>
      <c r="J589">
        <v>212</v>
      </c>
      <c r="K589">
        <v>8536</v>
      </c>
      <c r="L589">
        <v>57434</v>
      </c>
      <c r="M589">
        <v>3</v>
      </c>
      <c r="N589">
        <v>1599.076249</v>
      </c>
      <c r="O589" s="7">
        <f>IFERROR(Table1[[#This Row],[Clicks]]/Table1[[#This Row],[Impressions]],0)</f>
        <v>3.212948789839807E-3</v>
      </c>
      <c r="P589" s="5">
        <f>IFERROR(Table1[[#This Row],[Total Conversions]]/Table1[[#This Row],[Clicks]],0)</f>
        <v>1.4150943396226415E-2</v>
      </c>
      <c r="Q589" s="10">
        <f>IFERROR(Table1[[#This Row],[Gross Cost]]/Table1[[#This Row],[Total Conversions]],0)</f>
        <v>533.02541633333328</v>
      </c>
      <c r="R589" s="10">
        <f>IFERROR(Table1[[#This Row],[Gross Cost]]/(Table1[[#This Row],[Impressions]]/1000),0)</f>
        <v>24.234670278708151</v>
      </c>
      <c r="S589" s="5">
        <f>IFERROR(Table1[[#This Row],[Viewable Impressions]]/Table1[[#This Row],[Measurable Impressions]],0)</f>
        <v>0.14862276700212418</v>
      </c>
      <c r="T589" s="10">
        <f>IFERROR(1000*Table1[[#This Row],[Gross Cost]]/Table1[[#This Row],[Viewable Impressions]],0)</f>
        <v>187.33320630271791</v>
      </c>
      <c r="U589" s="10"/>
    </row>
    <row r="590" spans="1:21" x14ac:dyDescent="0.2">
      <c r="A590" t="s">
        <v>417</v>
      </c>
      <c r="B590" t="s">
        <v>60</v>
      </c>
      <c r="C590" t="s">
        <v>30</v>
      </c>
      <c r="D590" t="s">
        <v>94</v>
      </c>
      <c r="E590" t="str">
        <f>TRIM(RIGHT(Table1[[#This Row],[Location]],LEN(Table1[[#This Row],[Location]])-FIND(",",Table1[[#This Row],[Location]])))</f>
        <v>Florida</v>
      </c>
      <c r="F590" t="s">
        <v>409</v>
      </c>
      <c r="G590" t="s">
        <v>45</v>
      </c>
      <c r="H590" t="s">
        <v>26</v>
      </c>
      <c r="I590">
        <v>69722</v>
      </c>
      <c r="J590">
        <v>194</v>
      </c>
      <c r="K590">
        <v>40640</v>
      </c>
      <c r="L590">
        <v>64819</v>
      </c>
      <c r="M590">
        <v>10</v>
      </c>
      <c r="N590">
        <v>1667.6558950000001</v>
      </c>
      <c r="O590" s="7">
        <f>IFERROR(Table1[[#This Row],[Clicks]]/Table1[[#This Row],[Impressions]],0)</f>
        <v>2.7824789879808383E-3</v>
      </c>
      <c r="P590" s="5">
        <f>IFERROR(Table1[[#This Row],[Total Conversions]]/Table1[[#This Row],[Clicks]],0)</f>
        <v>5.1546391752577317E-2</v>
      </c>
      <c r="Q590" s="10">
        <f>IFERROR(Table1[[#This Row],[Gross Cost]]/Table1[[#This Row],[Total Conversions]],0)</f>
        <v>166.7655895</v>
      </c>
      <c r="R590" s="10">
        <f>IFERROR(Table1[[#This Row],[Gross Cost]]/(Table1[[#This Row],[Impressions]]/1000),0)</f>
        <v>23.918646840308657</v>
      </c>
      <c r="S590" s="5">
        <f>IFERROR(Table1[[#This Row],[Viewable Impressions]]/Table1[[#This Row],[Measurable Impressions]],0)</f>
        <v>0.62697665807864977</v>
      </c>
      <c r="T590" s="10">
        <f>IFERROR(1000*Table1[[#This Row],[Gross Cost]]/Table1[[#This Row],[Viewable Impressions]],0)</f>
        <v>41.034839936023623</v>
      </c>
      <c r="U590" s="10"/>
    </row>
    <row r="591" spans="1:21" x14ac:dyDescent="0.2">
      <c r="A591" t="s">
        <v>912</v>
      </c>
      <c r="B591" t="s">
        <v>60</v>
      </c>
      <c r="C591" t="s">
        <v>15</v>
      </c>
      <c r="D591" t="s">
        <v>77</v>
      </c>
      <c r="E591" t="str">
        <f>TRIM(RIGHT(Table1[[#This Row],[Location]],LEN(Table1[[#This Row],[Location]])-FIND(",",Table1[[#This Row],[Location]])))</f>
        <v>New York</v>
      </c>
      <c r="F591" t="s">
        <v>911</v>
      </c>
      <c r="G591" t="s">
        <v>116</v>
      </c>
      <c r="H591" t="s">
        <v>26</v>
      </c>
      <c r="I591">
        <v>72117</v>
      </c>
      <c r="J591">
        <v>187</v>
      </c>
      <c r="K591">
        <v>9807</v>
      </c>
      <c r="L591">
        <v>68568</v>
      </c>
      <c r="M591">
        <v>16</v>
      </c>
      <c r="N591">
        <v>1702.3172059999999</v>
      </c>
      <c r="O591" s="7">
        <f>IFERROR(Table1[[#This Row],[Clicks]]/Table1[[#This Row],[Impressions]],0)</f>
        <v>2.5930085832744014E-3</v>
      </c>
      <c r="P591" s="5">
        <f>IFERROR(Table1[[#This Row],[Total Conversions]]/Table1[[#This Row],[Clicks]],0)</f>
        <v>8.5561497326203204E-2</v>
      </c>
      <c r="Q591" s="10">
        <f>IFERROR(Table1[[#This Row],[Gross Cost]]/Table1[[#This Row],[Total Conversions]],0)</f>
        <v>106.394825375</v>
      </c>
      <c r="R591" s="10">
        <f>IFERROR(Table1[[#This Row],[Gross Cost]]/(Table1[[#This Row],[Impressions]]/1000),0)</f>
        <v>23.604936505955596</v>
      </c>
      <c r="S591" s="5">
        <f>IFERROR(Table1[[#This Row],[Viewable Impressions]]/Table1[[#This Row],[Measurable Impressions]],0)</f>
        <v>0.14302590129506476</v>
      </c>
      <c r="T591" s="10">
        <f>IFERROR(1000*Table1[[#This Row],[Gross Cost]]/Table1[[#This Row],[Viewable Impressions]],0)</f>
        <v>173.58185031100234</v>
      </c>
      <c r="U591" s="10"/>
    </row>
    <row r="592" spans="1:21" x14ac:dyDescent="0.2">
      <c r="A592" t="s">
        <v>753</v>
      </c>
      <c r="B592" t="s">
        <v>14</v>
      </c>
      <c r="C592" t="s">
        <v>30</v>
      </c>
      <c r="D592" t="s">
        <v>77</v>
      </c>
      <c r="E592" t="str">
        <f>TRIM(RIGHT(Table1[[#This Row],[Location]],LEN(Table1[[#This Row],[Location]])-FIND(",",Table1[[#This Row],[Location]])))</f>
        <v>New York</v>
      </c>
      <c r="F592" t="s">
        <v>742</v>
      </c>
      <c r="G592" t="s">
        <v>190</v>
      </c>
      <c r="H592" t="s">
        <v>26</v>
      </c>
      <c r="I592">
        <v>114267</v>
      </c>
      <c r="J592">
        <v>110</v>
      </c>
      <c r="K592">
        <v>60964</v>
      </c>
      <c r="L592">
        <v>108301</v>
      </c>
      <c r="M592">
        <v>5</v>
      </c>
      <c r="N592">
        <v>2679.1540679999998</v>
      </c>
      <c r="O592" s="7">
        <f>IFERROR(Table1[[#This Row],[Clicks]]/Table1[[#This Row],[Impressions]],0)</f>
        <v>9.6265763518776199E-4</v>
      </c>
      <c r="P592" s="5">
        <f>IFERROR(Table1[[#This Row],[Total Conversions]]/Table1[[#This Row],[Clicks]],0)</f>
        <v>4.5454545454545456E-2</v>
      </c>
      <c r="Q592" s="10">
        <f>IFERROR(Table1[[#This Row],[Gross Cost]]/Table1[[#This Row],[Total Conversions]],0)</f>
        <v>535.83081359999994</v>
      </c>
      <c r="R592" s="10">
        <f>IFERROR(Table1[[#This Row],[Gross Cost]]/(Table1[[#This Row],[Impressions]]/1000),0)</f>
        <v>23.446437449132294</v>
      </c>
      <c r="S592" s="5">
        <f>IFERROR(Table1[[#This Row],[Viewable Impressions]]/Table1[[#This Row],[Measurable Impressions]],0)</f>
        <v>0.56291262315214075</v>
      </c>
      <c r="T592" s="10">
        <f>IFERROR(1000*Table1[[#This Row],[Gross Cost]]/Table1[[#This Row],[Viewable Impressions]],0)</f>
        <v>43.946494127681909</v>
      </c>
      <c r="U592" s="10"/>
    </row>
    <row r="593" spans="1:21" x14ac:dyDescent="0.2">
      <c r="A593" t="s">
        <v>59</v>
      </c>
      <c r="B593" t="s">
        <v>60</v>
      </c>
      <c r="C593" t="s">
        <v>30</v>
      </c>
      <c r="D593" t="s">
        <v>28</v>
      </c>
      <c r="E593" t="str">
        <f>TRIM(RIGHT(Table1[[#This Row],[Location]],LEN(Table1[[#This Row],[Location]])-FIND(",",Table1[[#This Row],[Location]])))</f>
        <v>California</v>
      </c>
      <c r="F593" t="s">
        <v>57</v>
      </c>
      <c r="G593" t="s">
        <v>45</v>
      </c>
      <c r="H593" t="s">
        <v>26</v>
      </c>
      <c r="I593">
        <v>68704</v>
      </c>
      <c r="J593">
        <v>185</v>
      </c>
      <c r="K593">
        <v>31283</v>
      </c>
      <c r="L593">
        <v>59462</v>
      </c>
      <c r="M593">
        <v>16</v>
      </c>
      <c r="N593">
        <v>1605.5660310000001</v>
      </c>
      <c r="O593" s="7">
        <f>IFERROR(Table1[[#This Row],[Clicks]]/Table1[[#This Row],[Impressions]],0)</f>
        <v>2.6927107591988822E-3</v>
      </c>
      <c r="P593" s="5">
        <f>IFERROR(Table1[[#This Row],[Total Conversions]]/Table1[[#This Row],[Clicks]],0)</f>
        <v>8.6486486486486491E-2</v>
      </c>
      <c r="Q593" s="10">
        <f>IFERROR(Table1[[#This Row],[Gross Cost]]/Table1[[#This Row],[Total Conversions]],0)</f>
        <v>100.3478769375</v>
      </c>
      <c r="R593" s="10">
        <f>IFERROR(Table1[[#This Row],[Gross Cost]]/(Table1[[#This Row],[Impressions]]/1000),0)</f>
        <v>23.369323925826738</v>
      </c>
      <c r="S593" s="5">
        <f>IFERROR(Table1[[#This Row],[Viewable Impressions]]/Table1[[#This Row],[Measurable Impressions]],0)</f>
        <v>0.52610070296996403</v>
      </c>
      <c r="T593" s="10">
        <f>IFERROR(1000*Table1[[#This Row],[Gross Cost]]/Table1[[#This Row],[Viewable Impressions]],0)</f>
        <v>51.323914937825656</v>
      </c>
      <c r="U593" s="10"/>
    </row>
    <row r="594" spans="1:21" x14ac:dyDescent="0.2">
      <c r="A594" t="s">
        <v>590</v>
      </c>
      <c r="B594" t="s">
        <v>21</v>
      </c>
      <c r="C594" t="s">
        <v>30</v>
      </c>
      <c r="D594" t="s">
        <v>303</v>
      </c>
      <c r="E594" t="str">
        <f>TRIM(RIGHT(Table1[[#This Row],[Location]],LEN(Table1[[#This Row],[Location]])-FIND(",",Table1[[#This Row],[Location]])))</f>
        <v>Georgia</v>
      </c>
      <c r="F594" t="s">
        <v>589</v>
      </c>
      <c r="G594" t="s">
        <v>35</v>
      </c>
      <c r="H594" t="s">
        <v>26</v>
      </c>
      <c r="I594">
        <v>252170</v>
      </c>
      <c r="J594">
        <v>650</v>
      </c>
      <c r="K594">
        <v>9248</v>
      </c>
      <c r="L594">
        <v>14192</v>
      </c>
      <c r="M594">
        <v>1</v>
      </c>
      <c r="N594">
        <v>5874.0047800000002</v>
      </c>
      <c r="O594" s="7">
        <f>IFERROR(Table1[[#This Row],[Clicks]]/Table1[[#This Row],[Impressions]],0)</f>
        <v>2.5776262045445531E-3</v>
      </c>
      <c r="P594" s="5">
        <f>IFERROR(Table1[[#This Row],[Total Conversions]]/Table1[[#This Row],[Clicks]],0)</f>
        <v>1.5384615384615385E-3</v>
      </c>
      <c r="Q594" s="10">
        <f>IFERROR(Table1[[#This Row],[Gross Cost]]/Table1[[#This Row],[Total Conversions]],0)</f>
        <v>5874.0047800000002</v>
      </c>
      <c r="R594" s="10">
        <f>IFERROR(Table1[[#This Row],[Gross Cost]]/(Table1[[#This Row],[Impressions]]/1000),0)</f>
        <v>23.293828686996868</v>
      </c>
      <c r="S594" s="5">
        <f>IFERROR(Table1[[#This Row],[Viewable Impressions]]/Table1[[#This Row],[Measurable Impressions]],0)</f>
        <v>0.65163472378804965</v>
      </c>
      <c r="T594" s="10">
        <f>IFERROR(1000*Table1[[#This Row],[Gross Cost]]/Table1[[#This Row],[Viewable Impressions]],0)</f>
        <v>635.16487673010386</v>
      </c>
      <c r="U594" s="10"/>
    </row>
    <row r="595" spans="1:21" x14ac:dyDescent="0.2">
      <c r="A595" t="s">
        <v>370</v>
      </c>
      <c r="B595" t="s">
        <v>21</v>
      </c>
      <c r="C595" t="s">
        <v>22</v>
      </c>
      <c r="D595" t="s">
        <v>34</v>
      </c>
      <c r="E595" t="str">
        <f>TRIM(RIGHT(Table1[[#This Row],[Location]],LEN(Table1[[#This Row],[Location]])-FIND(",",Table1[[#This Row],[Location]])))</f>
        <v>Illinois</v>
      </c>
      <c r="F595" t="s">
        <v>364</v>
      </c>
      <c r="G595" t="s">
        <v>18</v>
      </c>
      <c r="H595" t="s">
        <v>26</v>
      </c>
      <c r="I595">
        <v>232470</v>
      </c>
      <c r="J595">
        <v>504</v>
      </c>
      <c r="K595">
        <v>40870</v>
      </c>
      <c r="L595">
        <v>195447</v>
      </c>
      <c r="M595">
        <v>36</v>
      </c>
      <c r="N595">
        <v>5401.3650850000004</v>
      </c>
      <c r="O595" s="7">
        <f>IFERROR(Table1[[#This Row],[Clicks]]/Table1[[#This Row],[Impressions]],0)</f>
        <v>2.1680216802168022E-3</v>
      </c>
      <c r="P595" s="5">
        <f>IFERROR(Table1[[#This Row],[Total Conversions]]/Table1[[#This Row],[Clicks]],0)</f>
        <v>7.1428571428571425E-2</v>
      </c>
      <c r="Q595" s="10">
        <f>IFERROR(Table1[[#This Row],[Gross Cost]]/Table1[[#This Row],[Total Conversions]],0)</f>
        <v>150.03791902777778</v>
      </c>
      <c r="R595" s="10">
        <f>IFERROR(Table1[[#This Row],[Gross Cost]]/(Table1[[#This Row],[Impressions]]/1000),0)</f>
        <v>23.234675807631096</v>
      </c>
      <c r="S595" s="5">
        <f>IFERROR(Table1[[#This Row],[Viewable Impressions]]/Table1[[#This Row],[Measurable Impressions]],0)</f>
        <v>0.20911039821537297</v>
      </c>
      <c r="T595" s="10">
        <f>IFERROR(1000*Table1[[#This Row],[Gross Cost]]/Table1[[#This Row],[Viewable Impressions]],0)</f>
        <v>132.15965463665279</v>
      </c>
      <c r="U595" s="10"/>
    </row>
    <row r="596" spans="1:21" x14ac:dyDescent="0.2">
      <c r="A596" t="s">
        <v>129</v>
      </c>
      <c r="B596" t="s">
        <v>21</v>
      </c>
      <c r="C596" t="s">
        <v>15</v>
      </c>
      <c r="D596" t="s">
        <v>130</v>
      </c>
      <c r="E596" t="str">
        <f>TRIM(RIGHT(Table1[[#This Row],[Location]],LEN(Table1[[#This Row],[Location]])-FIND(",",Table1[[#This Row],[Location]])))</f>
        <v>Michigan</v>
      </c>
      <c r="F596" t="s">
        <v>114</v>
      </c>
      <c r="G596" t="s">
        <v>18</v>
      </c>
      <c r="H596" t="s">
        <v>26</v>
      </c>
      <c r="I596">
        <v>77313</v>
      </c>
      <c r="J596">
        <v>191</v>
      </c>
      <c r="K596">
        <v>40366</v>
      </c>
      <c r="L596">
        <v>71128</v>
      </c>
      <c r="M596">
        <v>3</v>
      </c>
      <c r="N596">
        <v>1790.3901980000001</v>
      </c>
      <c r="O596" s="7">
        <f>IFERROR(Table1[[#This Row],[Clicks]]/Table1[[#This Row],[Impressions]],0)</f>
        <v>2.4704771513199592E-3</v>
      </c>
      <c r="P596" s="5">
        <f>IFERROR(Table1[[#This Row],[Total Conversions]]/Table1[[#This Row],[Clicks]],0)</f>
        <v>1.5706806282722512E-2</v>
      </c>
      <c r="Q596" s="10">
        <f>IFERROR(Table1[[#This Row],[Gross Cost]]/Table1[[#This Row],[Total Conversions]],0)</f>
        <v>596.79673266666668</v>
      </c>
      <c r="R596" s="10">
        <f>IFERROR(Table1[[#This Row],[Gross Cost]]/(Table1[[#This Row],[Impressions]]/1000),0)</f>
        <v>23.157686262336217</v>
      </c>
      <c r="S596" s="5">
        <f>IFERROR(Table1[[#This Row],[Viewable Impressions]]/Table1[[#This Row],[Measurable Impressions]],0)</f>
        <v>0.56751209087841636</v>
      </c>
      <c r="T596" s="10">
        <f>IFERROR(1000*Table1[[#This Row],[Gross Cost]]/Table1[[#This Row],[Viewable Impressions]],0)</f>
        <v>44.353916612991135</v>
      </c>
      <c r="U596" s="10"/>
    </row>
    <row r="597" spans="1:21" x14ac:dyDescent="0.2">
      <c r="A597" t="s">
        <v>96</v>
      </c>
      <c r="B597" t="s">
        <v>14</v>
      </c>
      <c r="C597" t="s">
        <v>30</v>
      </c>
      <c r="D597" t="s">
        <v>16</v>
      </c>
      <c r="E597" t="str">
        <f>TRIM(RIGHT(Table1[[#This Row],[Location]],LEN(Table1[[#This Row],[Location]])-FIND(",",Table1[[#This Row],[Location]])))</f>
        <v>California</v>
      </c>
      <c r="F597" t="s">
        <v>92</v>
      </c>
      <c r="G597" t="s">
        <v>25</v>
      </c>
      <c r="H597" t="s">
        <v>26</v>
      </c>
      <c r="I597">
        <v>67752</v>
      </c>
      <c r="J597">
        <v>174</v>
      </c>
      <c r="K597">
        <v>47126</v>
      </c>
      <c r="L597">
        <v>65080</v>
      </c>
      <c r="M597">
        <v>3</v>
      </c>
      <c r="N597">
        <v>1557.0157300000001</v>
      </c>
      <c r="O597" s="7">
        <f>IFERROR(Table1[[#This Row],[Clicks]]/Table1[[#This Row],[Impressions]],0)</f>
        <v>2.5681898689337585E-3</v>
      </c>
      <c r="P597" s="5">
        <f>IFERROR(Table1[[#This Row],[Total Conversions]]/Table1[[#This Row],[Clicks]],0)</f>
        <v>1.7241379310344827E-2</v>
      </c>
      <c r="Q597" s="10">
        <f>IFERROR(Table1[[#This Row],[Gross Cost]]/Table1[[#This Row],[Total Conversions]],0)</f>
        <v>519.0052433333334</v>
      </c>
      <c r="R597" s="10">
        <f>IFERROR(Table1[[#This Row],[Gross Cost]]/(Table1[[#This Row],[Impressions]]/1000),0)</f>
        <v>22.981103583658051</v>
      </c>
      <c r="S597" s="5">
        <f>IFERROR(Table1[[#This Row],[Viewable Impressions]]/Table1[[#This Row],[Measurable Impressions]],0)</f>
        <v>0.72412415488629378</v>
      </c>
      <c r="T597" s="10">
        <f>IFERROR(1000*Table1[[#This Row],[Gross Cost]]/Table1[[#This Row],[Viewable Impressions]],0)</f>
        <v>33.039420489750881</v>
      </c>
      <c r="U597" s="10"/>
    </row>
    <row r="598" spans="1:21" x14ac:dyDescent="0.2">
      <c r="A598" t="s">
        <v>927</v>
      </c>
      <c r="B598" t="s">
        <v>60</v>
      </c>
      <c r="C598" t="s">
        <v>15</v>
      </c>
      <c r="D598" t="s">
        <v>28</v>
      </c>
      <c r="E598" t="str">
        <f>TRIM(RIGHT(Table1[[#This Row],[Location]],LEN(Table1[[#This Row],[Location]])-FIND(",",Table1[[#This Row],[Location]])))</f>
        <v>California</v>
      </c>
      <c r="F598" t="s">
        <v>918</v>
      </c>
      <c r="G598" t="s">
        <v>18</v>
      </c>
      <c r="H598" t="s">
        <v>26</v>
      </c>
      <c r="I598">
        <v>257862</v>
      </c>
      <c r="J598">
        <v>700</v>
      </c>
      <c r="K598">
        <v>105048</v>
      </c>
      <c r="L598">
        <v>238629</v>
      </c>
      <c r="M598">
        <v>21</v>
      </c>
      <c r="N598">
        <v>5899.4294829999999</v>
      </c>
      <c r="O598" s="7">
        <f>IFERROR(Table1[[#This Row],[Clicks]]/Table1[[#This Row],[Impressions]],0)</f>
        <v>2.7146303061327376E-3</v>
      </c>
      <c r="P598" s="5">
        <f>IFERROR(Table1[[#This Row],[Total Conversions]]/Table1[[#This Row],[Clicks]],0)</f>
        <v>0.03</v>
      </c>
      <c r="Q598" s="10">
        <f>IFERROR(Table1[[#This Row],[Gross Cost]]/Table1[[#This Row],[Total Conversions]],0)</f>
        <v>280.92521347619049</v>
      </c>
      <c r="R598" s="10">
        <f>IFERROR(Table1[[#This Row],[Gross Cost]]/(Table1[[#This Row],[Impressions]]/1000),0)</f>
        <v>22.878242947778265</v>
      </c>
      <c r="S598" s="5">
        <f>IFERROR(Table1[[#This Row],[Viewable Impressions]]/Table1[[#This Row],[Measurable Impressions]],0)</f>
        <v>0.44021472662585015</v>
      </c>
      <c r="T598" s="10">
        <f>IFERROR(1000*Table1[[#This Row],[Gross Cost]]/Table1[[#This Row],[Viewable Impressions]],0)</f>
        <v>56.159369840453891</v>
      </c>
      <c r="U598" s="10"/>
    </row>
    <row r="599" spans="1:21" x14ac:dyDescent="0.2">
      <c r="A599" t="s">
        <v>368</v>
      </c>
      <c r="B599" t="s">
        <v>14</v>
      </c>
      <c r="C599" t="s">
        <v>15</v>
      </c>
      <c r="D599" t="s">
        <v>77</v>
      </c>
      <c r="E599" t="str">
        <f>TRIM(RIGHT(Table1[[#This Row],[Location]],LEN(Table1[[#This Row],[Location]])-FIND(",",Table1[[#This Row],[Location]])))</f>
        <v>New York</v>
      </c>
      <c r="F599" t="s">
        <v>364</v>
      </c>
      <c r="G599" t="s">
        <v>18</v>
      </c>
      <c r="H599" t="s">
        <v>26</v>
      </c>
      <c r="I599">
        <v>286998</v>
      </c>
      <c r="J599">
        <v>815</v>
      </c>
      <c r="K599">
        <v>61586</v>
      </c>
      <c r="L599">
        <v>247500</v>
      </c>
      <c r="M599">
        <v>13</v>
      </c>
      <c r="N599">
        <v>6395.5506240000004</v>
      </c>
      <c r="O599" s="7">
        <f>IFERROR(Table1[[#This Row],[Clicks]]/Table1[[#This Row],[Impressions]],0)</f>
        <v>2.8397410434915921E-3</v>
      </c>
      <c r="P599" s="5">
        <f>IFERROR(Table1[[#This Row],[Total Conversions]]/Table1[[#This Row],[Clicks]],0)</f>
        <v>1.5950920245398775E-2</v>
      </c>
      <c r="Q599" s="10">
        <f>IFERROR(Table1[[#This Row],[Gross Cost]]/Table1[[#This Row],[Total Conversions]],0)</f>
        <v>491.96543261538466</v>
      </c>
      <c r="R599" s="10">
        <f>IFERROR(Table1[[#This Row],[Gross Cost]]/(Table1[[#This Row],[Impressions]]/1000),0)</f>
        <v>22.284303806995172</v>
      </c>
      <c r="S599" s="5">
        <f>IFERROR(Table1[[#This Row],[Viewable Impressions]]/Table1[[#This Row],[Measurable Impressions]],0)</f>
        <v>0.24883232323232324</v>
      </c>
      <c r="T599" s="10">
        <f>IFERROR(1000*Table1[[#This Row],[Gross Cost]]/Table1[[#This Row],[Viewable Impressions]],0)</f>
        <v>103.84747546520315</v>
      </c>
      <c r="U599" s="10"/>
    </row>
    <row r="600" spans="1:21" x14ac:dyDescent="0.2">
      <c r="A600" t="s">
        <v>339</v>
      </c>
      <c r="B600" t="s">
        <v>21</v>
      </c>
      <c r="C600" t="s">
        <v>15</v>
      </c>
      <c r="D600" t="s">
        <v>34</v>
      </c>
      <c r="E600" t="str">
        <f>TRIM(RIGHT(Table1[[#This Row],[Location]],LEN(Table1[[#This Row],[Location]])-FIND(",",Table1[[#This Row],[Location]])))</f>
        <v>Illinois</v>
      </c>
      <c r="F600" t="s">
        <v>340</v>
      </c>
      <c r="G600" t="s">
        <v>18</v>
      </c>
      <c r="H600" t="s">
        <v>26</v>
      </c>
      <c r="I600">
        <v>80408</v>
      </c>
      <c r="J600">
        <v>199</v>
      </c>
      <c r="K600">
        <v>13127</v>
      </c>
      <c r="L600">
        <v>67027</v>
      </c>
      <c r="M600">
        <v>9</v>
      </c>
      <c r="N600">
        <v>1788.1116179999999</v>
      </c>
      <c r="O600" s="7">
        <f>IFERROR(Table1[[#This Row],[Clicks]]/Table1[[#This Row],[Impressions]],0)</f>
        <v>2.4748781215799421E-3</v>
      </c>
      <c r="P600" s="5">
        <f>IFERROR(Table1[[#This Row],[Total Conversions]]/Table1[[#This Row],[Clicks]],0)</f>
        <v>4.5226130653266333E-2</v>
      </c>
      <c r="Q600" s="10">
        <f>IFERROR(Table1[[#This Row],[Gross Cost]]/Table1[[#This Row],[Total Conversions]],0)</f>
        <v>198.67906866666667</v>
      </c>
      <c r="R600" s="10">
        <f>IFERROR(Table1[[#This Row],[Gross Cost]]/(Table1[[#This Row],[Impressions]]/1000),0)</f>
        <v>22.237981519251814</v>
      </c>
      <c r="S600" s="5">
        <f>IFERROR(Table1[[#This Row],[Viewable Impressions]]/Table1[[#This Row],[Measurable Impressions]],0)</f>
        <v>0.19584644993808464</v>
      </c>
      <c r="T600" s="10">
        <f>IFERROR(1000*Table1[[#This Row],[Gross Cost]]/Table1[[#This Row],[Viewable Impressions]],0)</f>
        <v>136.21631888474138</v>
      </c>
      <c r="U600" s="10"/>
    </row>
    <row r="601" spans="1:21" x14ac:dyDescent="0.2">
      <c r="A601" t="s">
        <v>534</v>
      </c>
      <c r="B601" t="s">
        <v>21</v>
      </c>
      <c r="C601" t="s">
        <v>22</v>
      </c>
      <c r="D601" t="s">
        <v>28</v>
      </c>
      <c r="E601" t="str">
        <f>TRIM(RIGHT(Table1[[#This Row],[Location]],LEN(Table1[[#This Row],[Location]])-FIND(",",Table1[[#This Row],[Location]])))</f>
        <v>California</v>
      </c>
      <c r="F601" t="s">
        <v>517</v>
      </c>
      <c r="G601" t="s">
        <v>45</v>
      </c>
      <c r="H601" t="s">
        <v>26</v>
      </c>
      <c r="I601">
        <v>69136</v>
      </c>
      <c r="J601">
        <v>190</v>
      </c>
      <c r="K601">
        <v>40571</v>
      </c>
      <c r="L601">
        <v>63614</v>
      </c>
      <c r="M601">
        <v>3</v>
      </c>
      <c r="N601">
        <v>1507.9468509999999</v>
      </c>
      <c r="O601" s="7">
        <f>IFERROR(Table1[[#This Row],[Clicks]]/Table1[[#This Row],[Impressions]],0)</f>
        <v>2.7482064336959038E-3</v>
      </c>
      <c r="P601" s="5">
        <f>IFERROR(Table1[[#This Row],[Total Conversions]]/Table1[[#This Row],[Clicks]],0)</f>
        <v>1.5789473684210527E-2</v>
      </c>
      <c r="Q601" s="10">
        <f>IFERROR(Table1[[#This Row],[Gross Cost]]/Table1[[#This Row],[Total Conversions]],0)</f>
        <v>502.64895033333329</v>
      </c>
      <c r="R601" s="10">
        <f>IFERROR(Table1[[#This Row],[Gross Cost]]/(Table1[[#This Row],[Impressions]]/1000),0)</f>
        <v>21.811311776787782</v>
      </c>
      <c r="S601" s="5">
        <f>IFERROR(Table1[[#This Row],[Viewable Impressions]]/Table1[[#This Row],[Measurable Impressions]],0)</f>
        <v>0.63776841575753762</v>
      </c>
      <c r="T601" s="10">
        <f>IFERROR(1000*Table1[[#This Row],[Gross Cost]]/Table1[[#This Row],[Viewable Impressions]],0)</f>
        <v>37.168096694683392</v>
      </c>
      <c r="U601" s="10"/>
    </row>
    <row r="602" spans="1:21" x14ac:dyDescent="0.2">
      <c r="A602" t="s">
        <v>192</v>
      </c>
      <c r="B602" t="s">
        <v>14</v>
      </c>
      <c r="C602" t="s">
        <v>30</v>
      </c>
      <c r="D602" t="s">
        <v>34</v>
      </c>
      <c r="E602" t="str">
        <f>TRIM(RIGHT(Table1[[#This Row],[Location]],LEN(Table1[[#This Row],[Location]])-FIND(",",Table1[[#This Row],[Location]])))</f>
        <v>Illinois</v>
      </c>
      <c r="F602" t="s">
        <v>185</v>
      </c>
      <c r="G602" t="s">
        <v>45</v>
      </c>
      <c r="H602" t="s">
        <v>51</v>
      </c>
      <c r="I602">
        <v>69757</v>
      </c>
      <c r="J602">
        <v>199</v>
      </c>
      <c r="K602">
        <v>41258</v>
      </c>
      <c r="L602">
        <v>65374</v>
      </c>
      <c r="M602">
        <v>20</v>
      </c>
      <c r="N602">
        <v>1510.6153200000001</v>
      </c>
      <c r="O602" s="7">
        <f>IFERROR(Table1[[#This Row],[Clicks]]/Table1[[#This Row],[Impressions]],0)</f>
        <v>2.8527602964577032E-3</v>
      </c>
      <c r="P602" s="5">
        <f>IFERROR(Table1[[#This Row],[Total Conversions]]/Table1[[#This Row],[Clicks]],0)</f>
        <v>0.10050251256281408</v>
      </c>
      <c r="Q602" s="10">
        <f>IFERROR(Table1[[#This Row],[Gross Cost]]/Table1[[#This Row],[Total Conversions]],0)</f>
        <v>75.530766</v>
      </c>
      <c r="R602" s="10">
        <f>IFERROR(Table1[[#This Row],[Gross Cost]]/(Table1[[#This Row],[Impressions]]/1000),0)</f>
        <v>21.655394010636925</v>
      </c>
      <c r="S602" s="5">
        <f>IFERROR(Table1[[#This Row],[Viewable Impressions]]/Table1[[#This Row],[Measurable Impressions]],0)</f>
        <v>0.63110716798727318</v>
      </c>
      <c r="T602" s="10">
        <f>IFERROR(1000*Table1[[#This Row],[Gross Cost]]/Table1[[#This Row],[Viewable Impressions]],0)</f>
        <v>36.61387658151147</v>
      </c>
      <c r="U602" s="10"/>
    </row>
    <row r="603" spans="1:21" x14ac:dyDescent="0.2">
      <c r="A603" t="s">
        <v>246</v>
      </c>
      <c r="B603" t="s">
        <v>60</v>
      </c>
      <c r="C603" t="s">
        <v>30</v>
      </c>
      <c r="D603" t="s">
        <v>34</v>
      </c>
      <c r="E603" t="str">
        <f>TRIM(RIGHT(Table1[[#This Row],[Location]],LEN(Table1[[#This Row],[Location]])-FIND(",",Table1[[#This Row],[Location]])))</f>
        <v>Illinois</v>
      </c>
      <c r="F603" t="s">
        <v>241</v>
      </c>
      <c r="G603" t="s">
        <v>18</v>
      </c>
      <c r="H603" t="s">
        <v>26</v>
      </c>
      <c r="I603">
        <v>84306</v>
      </c>
      <c r="J603">
        <v>185</v>
      </c>
      <c r="K603">
        <v>45376</v>
      </c>
      <c r="L603">
        <v>79935</v>
      </c>
      <c r="M603">
        <v>3</v>
      </c>
      <c r="N603">
        <v>1809.5909610000001</v>
      </c>
      <c r="O603" s="7">
        <f>IFERROR(Table1[[#This Row],[Clicks]]/Table1[[#This Row],[Impressions]],0)</f>
        <v>2.1943871136099447E-3</v>
      </c>
      <c r="P603" s="5">
        <f>IFERROR(Table1[[#This Row],[Total Conversions]]/Table1[[#This Row],[Clicks]],0)</f>
        <v>1.6216216216216217E-2</v>
      </c>
      <c r="Q603" s="10">
        <f>IFERROR(Table1[[#This Row],[Gross Cost]]/Table1[[#This Row],[Total Conversions]],0)</f>
        <v>603.19698700000004</v>
      </c>
      <c r="R603" s="10">
        <f>IFERROR(Table1[[#This Row],[Gross Cost]]/(Table1[[#This Row],[Impressions]]/1000),0)</f>
        <v>21.464557220126682</v>
      </c>
      <c r="S603" s="5">
        <f>IFERROR(Table1[[#This Row],[Viewable Impressions]]/Table1[[#This Row],[Measurable Impressions]],0)</f>
        <v>0.56766122474510539</v>
      </c>
      <c r="T603" s="10">
        <f>IFERROR(1000*Table1[[#This Row],[Gross Cost]]/Table1[[#This Row],[Viewable Impressions]],0)</f>
        <v>39.879913632757408</v>
      </c>
      <c r="U603" s="10"/>
    </row>
    <row r="604" spans="1:21" x14ac:dyDescent="0.2">
      <c r="A604" t="s">
        <v>689</v>
      </c>
      <c r="B604" t="s">
        <v>14</v>
      </c>
      <c r="C604" t="s">
        <v>15</v>
      </c>
      <c r="D604" t="s">
        <v>94</v>
      </c>
      <c r="E604" t="str">
        <f>TRIM(RIGHT(Table1[[#This Row],[Location]],LEN(Table1[[#This Row],[Location]])-FIND(",",Table1[[#This Row],[Location]])))</f>
        <v>Florida</v>
      </c>
      <c r="F604" t="s">
        <v>685</v>
      </c>
      <c r="G604" t="s">
        <v>25</v>
      </c>
      <c r="H604" t="s">
        <v>19</v>
      </c>
      <c r="I604">
        <v>73567</v>
      </c>
      <c r="J604">
        <v>197</v>
      </c>
      <c r="K604">
        <v>28800</v>
      </c>
      <c r="L604">
        <v>68566</v>
      </c>
      <c r="M604">
        <v>2</v>
      </c>
      <c r="N604">
        <v>1567.3660709999999</v>
      </c>
      <c r="O604" s="7">
        <f>IFERROR(Table1[[#This Row],[Clicks]]/Table1[[#This Row],[Impressions]],0)</f>
        <v>2.6778310927453885E-3</v>
      </c>
      <c r="P604" s="5">
        <f>IFERROR(Table1[[#This Row],[Total Conversions]]/Table1[[#This Row],[Clicks]],0)</f>
        <v>1.015228426395939E-2</v>
      </c>
      <c r="Q604" s="10">
        <f>IFERROR(Table1[[#This Row],[Gross Cost]]/Table1[[#This Row],[Total Conversions]],0)</f>
        <v>783.68303549999996</v>
      </c>
      <c r="R604" s="10">
        <f>IFERROR(Table1[[#This Row],[Gross Cost]]/(Table1[[#This Row],[Impressions]]/1000),0)</f>
        <v>21.305287302730846</v>
      </c>
      <c r="S604" s="5">
        <f>IFERROR(Table1[[#This Row],[Viewable Impressions]]/Table1[[#This Row],[Measurable Impressions]],0)</f>
        <v>0.42003325263250008</v>
      </c>
      <c r="T604" s="10">
        <f>IFERROR(1000*Table1[[#This Row],[Gross Cost]]/Table1[[#This Row],[Viewable Impressions]],0)</f>
        <v>54.422433020833331</v>
      </c>
      <c r="U604" s="10"/>
    </row>
    <row r="605" spans="1:21" x14ac:dyDescent="0.2">
      <c r="A605" t="s">
        <v>101</v>
      </c>
      <c r="B605" t="s">
        <v>14</v>
      </c>
      <c r="C605" t="s">
        <v>41</v>
      </c>
      <c r="D605" t="s">
        <v>34</v>
      </c>
      <c r="E605" t="str">
        <f>TRIM(RIGHT(Table1[[#This Row],[Location]],LEN(Table1[[#This Row],[Location]])-FIND(",",Table1[[#This Row],[Location]])))</f>
        <v>Illinois</v>
      </c>
      <c r="F605" t="s">
        <v>102</v>
      </c>
      <c r="G605" t="s">
        <v>32</v>
      </c>
      <c r="H605" t="s">
        <v>26</v>
      </c>
      <c r="I605">
        <v>117713</v>
      </c>
      <c r="J605">
        <v>374</v>
      </c>
      <c r="K605">
        <v>16357</v>
      </c>
      <c r="L605">
        <v>100222</v>
      </c>
      <c r="M605">
        <v>5</v>
      </c>
      <c r="N605">
        <v>2505.4035429999999</v>
      </c>
      <c r="O605" s="7">
        <f>IFERROR(Table1[[#This Row],[Clicks]]/Table1[[#This Row],[Impressions]],0)</f>
        <v>3.1772191686559683E-3</v>
      </c>
      <c r="P605" s="5">
        <f>IFERROR(Table1[[#This Row],[Total Conversions]]/Table1[[#This Row],[Clicks]],0)</f>
        <v>1.3368983957219251E-2</v>
      </c>
      <c r="Q605" s="10">
        <f>IFERROR(Table1[[#This Row],[Gross Cost]]/Table1[[#This Row],[Total Conversions]],0)</f>
        <v>501.08070859999998</v>
      </c>
      <c r="R605" s="10">
        <f>IFERROR(Table1[[#This Row],[Gross Cost]]/(Table1[[#This Row],[Impressions]]/1000),0)</f>
        <v>21.284000433257159</v>
      </c>
      <c r="S605" s="5">
        <f>IFERROR(Table1[[#This Row],[Viewable Impressions]]/Table1[[#This Row],[Measurable Impressions]],0)</f>
        <v>0.16320767895272495</v>
      </c>
      <c r="T605" s="10">
        <f>IFERROR(1000*Table1[[#This Row],[Gross Cost]]/Table1[[#This Row],[Viewable Impressions]],0)</f>
        <v>153.17011328483218</v>
      </c>
      <c r="U605" s="10"/>
    </row>
    <row r="606" spans="1:21" x14ac:dyDescent="0.2">
      <c r="A606" t="s">
        <v>796</v>
      </c>
      <c r="B606" t="s">
        <v>14</v>
      </c>
      <c r="C606" t="s">
        <v>41</v>
      </c>
      <c r="D606" t="s">
        <v>77</v>
      </c>
      <c r="E606" t="str">
        <f>TRIM(RIGHT(Table1[[#This Row],[Location]],LEN(Table1[[#This Row],[Location]])-FIND(",",Table1[[#This Row],[Location]])))</f>
        <v>New York</v>
      </c>
      <c r="F606" t="s">
        <v>794</v>
      </c>
      <c r="G606" t="s">
        <v>45</v>
      </c>
      <c r="H606" t="s">
        <v>26</v>
      </c>
      <c r="I606">
        <v>83537</v>
      </c>
      <c r="J606">
        <v>222</v>
      </c>
      <c r="K606">
        <v>67987</v>
      </c>
      <c r="L606">
        <v>79409</v>
      </c>
      <c r="M606">
        <v>4</v>
      </c>
      <c r="N606">
        <v>1761.0793229999999</v>
      </c>
      <c r="O606" s="7">
        <f>IFERROR(Table1[[#This Row],[Clicks]]/Table1[[#This Row],[Impressions]],0)</f>
        <v>2.6575050576391301E-3</v>
      </c>
      <c r="P606" s="5">
        <f>IFERROR(Table1[[#This Row],[Total Conversions]]/Table1[[#This Row],[Clicks]],0)</f>
        <v>1.8018018018018018E-2</v>
      </c>
      <c r="Q606" s="10">
        <f>IFERROR(Table1[[#This Row],[Gross Cost]]/Table1[[#This Row],[Total Conversions]],0)</f>
        <v>440.26983074999998</v>
      </c>
      <c r="R606" s="10">
        <f>IFERROR(Table1[[#This Row],[Gross Cost]]/(Table1[[#This Row],[Impressions]]/1000),0)</f>
        <v>21.081428863856733</v>
      </c>
      <c r="S606" s="5">
        <f>IFERROR(Table1[[#This Row],[Viewable Impressions]]/Table1[[#This Row],[Measurable Impressions]],0)</f>
        <v>0.85616239972799058</v>
      </c>
      <c r="T606" s="10">
        <f>IFERROR(1000*Table1[[#This Row],[Gross Cost]]/Table1[[#This Row],[Viewable Impressions]],0)</f>
        <v>25.903177416270754</v>
      </c>
      <c r="U606" s="10"/>
    </row>
    <row r="607" spans="1:21" x14ac:dyDescent="0.2">
      <c r="A607" t="s">
        <v>320</v>
      </c>
      <c r="B607" t="s">
        <v>14</v>
      </c>
      <c r="C607" t="s">
        <v>41</v>
      </c>
      <c r="D607" t="s">
        <v>83</v>
      </c>
      <c r="E607" t="str">
        <f>TRIM(RIGHT(Table1[[#This Row],[Location]],LEN(Table1[[#This Row],[Location]])-FIND(",",Table1[[#This Row],[Location]])))</f>
        <v>Florida</v>
      </c>
      <c r="F607" t="s">
        <v>296</v>
      </c>
      <c r="G607" t="s">
        <v>45</v>
      </c>
      <c r="H607" t="s">
        <v>51</v>
      </c>
      <c r="I607">
        <v>74436</v>
      </c>
      <c r="J607">
        <v>175</v>
      </c>
      <c r="K607">
        <v>30158</v>
      </c>
      <c r="L607">
        <v>69150</v>
      </c>
      <c r="M607">
        <v>21</v>
      </c>
      <c r="N607">
        <v>1558.5491380000001</v>
      </c>
      <c r="O607" s="7">
        <f>IFERROR(Table1[[#This Row],[Clicks]]/Table1[[#This Row],[Impressions]],0)</f>
        <v>2.3510129507227687E-3</v>
      </c>
      <c r="P607" s="5">
        <f>IFERROR(Table1[[#This Row],[Total Conversions]]/Table1[[#This Row],[Clicks]],0)</f>
        <v>0.12</v>
      </c>
      <c r="Q607" s="10">
        <f>IFERROR(Table1[[#This Row],[Gross Cost]]/Table1[[#This Row],[Total Conversions]],0)</f>
        <v>74.216625619047619</v>
      </c>
      <c r="R607" s="10">
        <f>IFERROR(Table1[[#This Row],[Gross Cost]]/(Table1[[#This Row],[Impressions]]/1000),0)</f>
        <v>20.938109758718898</v>
      </c>
      <c r="S607" s="5">
        <f>IFERROR(Table1[[#This Row],[Viewable Impressions]]/Table1[[#This Row],[Measurable Impressions]],0)</f>
        <v>0.43612436731742588</v>
      </c>
      <c r="T607" s="10">
        <f>IFERROR(1000*Table1[[#This Row],[Gross Cost]]/Table1[[#This Row],[Viewable Impressions]],0)</f>
        <v>51.679459446912929</v>
      </c>
      <c r="U607" s="10"/>
    </row>
    <row r="608" spans="1:21" x14ac:dyDescent="0.2">
      <c r="A608" t="s">
        <v>604</v>
      </c>
      <c r="B608" t="s">
        <v>21</v>
      </c>
      <c r="C608" t="s">
        <v>22</v>
      </c>
      <c r="D608" t="s">
        <v>83</v>
      </c>
      <c r="E608" t="str">
        <f>TRIM(RIGHT(Table1[[#This Row],[Location]],LEN(Table1[[#This Row],[Location]])-FIND(",",Table1[[#This Row],[Location]])))</f>
        <v>Florida</v>
      </c>
      <c r="F608" t="s">
        <v>605</v>
      </c>
      <c r="G608" t="s">
        <v>18</v>
      </c>
      <c r="H608" t="s">
        <v>26</v>
      </c>
      <c r="I608">
        <v>98509</v>
      </c>
      <c r="J608">
        <v>299</v>
      </c>
      <c r="K608">
        <v>30688</v>
      </c>
      <c r="L608">
        <v>109518</v>
      </c>
      <c r="M608">
        <v>15</v>
      </c>
      <c r="N608">
        <v>2059.2702939999999</v>
      </c>
      <c r="O608" s="7">
        <f>IFERROR(Table1[[#This Row],[Clicks]]/Table1[[#This Row],[Impressions]],0)</f>
        <v>3.0352556619192153E-3</v>
      </c>
      <c r="P608" s="5">
        <f>IFERROR(Table1[[#This Row],[Total Conversions]]/Table1[[#This Row],[Clicks]],0)</f>
        <v>5.016722408026756E-2</v>
      </c>
      <c r="Q608" s="10">
        <f>IFERROR(Table1[[#This Row],[Gross Cost]]/Table1[[#This Row],[Total Conversions]],0)</f>
        <v>137.28468626666665</v>
      </c>
      <c r="R608" s="10">
        <f>IFERROR(Table1[[#This Row],[Gross Cost]]/(Table1[[#This Row],[Impressions]]/1000),0)</f>
        <v>20.904387355470057</v>
      </c>
      <c r="S608" s="5">
        <f>IFERROR(Table1[[#This Row],[Viewable Impressions]]/Table1[[#This Row],[Measurable Impressions]],0)</f>
        <v>0.28020964590295661</v>
      </c>
      <c r="T608" s="10">
        <f>IFERROR(1000*Table1[[#This Row],[Gross Cost]]/Table1[[#This Row],[Viewable Impressions]],0)</f>
        <v>67.103437630344104</v>
      </c>
      <c r="U608" s="10"/>
    </row>
    <row r="609" spans="1:21" x14ac:dyDescent="0.2">
      <c r="A609" t="s">
        <v>946</v>
      </c>
      <c r="B609" t="s">
        <v>21</v>
      </c>
      <c r="C609" t="s">
        <v>15</v>
      </c>
      <c r="D609" t="s">
        <v>77</v>
      </c>
      <c r="E609" t="str">
        <f>TRIM(RIGHT(Table1[[#This Row],[Location]],LEN(Table1[[#This Row],[Location]])-FIND(",",Table1[[#This Row],[Location]])))</f>
        <v>New York</v>
      </c>
      <c r="F609" t="s">
        <v>918</v>
      </c>
      <c r="G609" t="s">
        <v>18</v>
      </c>
      <c r="H609" t="s">
        <v>26</v>
      </c>
      <c r="I609">
        <v>78433</v>
      </c>
      <c r="J609">
        <v>204</v>
      </c>
      <c r="K609">
        <v>24067</v>
      </c>
      <c r="L609">
        <v>58308</v>
      </c>
      <c r="M609">
        <v>16</v>
      </c>
      <c r="N609">
        <v>1612.5493269999999</v>
      </c>
      <c r="O609" s="7">
        <f>IFERROR(Table1[[#This Row],[Clicks]]/Table1[[#This Row],[Impressions]],0)</f>
        <v>2.6009460303698696E-3</v>
      </c>
      <c r="P609" s="5">
        <f>IFERROR(Table1[[#This Row],[Total Conversions]]/Table1[[#This Row],[Clicks]],0)</f>
        <v>7.8431372549019607E-2</v>
      </c>
      <c r="Q609" s="10">
        <f>IFERROR(Table1[[#This Row],[Gross Cost]]/Table1[[#This Row],[Total Conversions]],0)</f>
        <v>100.7843329375</v>
      </c>
      <c r="R609" s="10">
        <f>IFERROR(Table1[[#This Row],[Gross Cost]]/(Table1[[#This Row],[Impressions]]/1000),0)</f>
        <v>20.559577308020856</v>
      </c>
      <c r="S609" s="5">
        <f>IFERROR(Table1[[#This Row],[Viewable Impressions]]/Table1[[#This Row],[Measurable Impressions]],0)</f>
        <v>0.41275639706386774</v>
      </c>
      <c r="T609" s="10">
        <f>IFERROR(1000*Table1[[#This Row],[Gross Cost]]/Table1[[#This Row],[Viewable Impressions]],0)</f>
        <v>67.002506627332039</v>
      </c>
      <c r="U609" s="10"/>
    </row>
    <row r="610" spans="1:21" x14ac:dyDescent="0.2">
      <c r="A610" t="s">
        <v>1015</v>
      </c>
      <c r="B610" t="s">
        <v>21</v>
      </c>
      <c r="C610" t="s">
        <v>30</v>
      </c>
      <c r="D610" t="s">
        <v>272</v>
      </c>
      <c r="E610" t="str">
        <f>TRIM(RIGHT(Table1[[#This Row],[Location]],LEN(Table1[[#This Row],[Location]])-FIND(",",Table1[[#This Row],[Location]])))</f>
        <v>Indiana</v>
      </c>
      <c r="F610" t="s">
        <v>991</v>
      </c>
      <c r="G610" t="s">
        <v>18</v>
      </c>
      <c r="H610" t="s">
        <v>26</v>
      </c>
      <c r="I610">
        <v>74516</v>
      </c>
      <c r="J610">
        <v>200</v>
      </c>
      <c r="K610">
        <v>23985</v>
      </c>
      <c r="L610">
        <v>63853</v>
      </c>
      <c r="M610">
        <v>24</v>
      </c>
      <c r="N610">
        <v>1523.783909</v>
      </c>
      <c r="O610" s="7">
        <f>IFERROR(Table1[[#This Row],[Clicks]]/Table1[[#This Row],[Impressions]],0)</f>
        <v>2.683987331579795E-3</v>
      </c>
      <c r="P610" s="5">
        <f>IFERROR(Table1[[#This Row],[Total Conversions]]/Table1[[#This Row],[Clicks]],0)</f>
        <v>0.12</v>
      </c>
      <c r="Q610" s="10">
        <f>IFERROR(Table1[[#This Row],[Gross Cost]]/Table1[[#This Row],[Total Conversions]],0)</f>
        <v>63.490996208333335</v>
      </c>
      <c r="R610" s="10">
        <f>IFERROR(Table1[[#This Row],[Gross Cost]]/(Table1[[#This Row],[Impressions]]/1000),0)</f>
        <v>20.449083539105693</v>
      </c>
      <c r="S610" s="5">
        <f>IFERROR(Table1[[#This Row],[Viewable Impressions]]/Table1[[#This Row],[Measurable Impressions]],0)</f>
        <v>0.37562839647314927</v>
      </c>
      <c r="T610" s="10">
        <f>IFERROR(1000*Table1[[#This Row],[Gross Cost]]/Table1[[#This Row],[Viewable Impressions]],0)</f>
        <v>63.53070289764436</v>
      </c>
      <c r="U610" s="10"/>
    </row>
    <row r="611" spans="1:21" x14ac:dyDescent="0.2">
      <c r="A611" t="s">
        <v>374</v>
      </c>
      <c r="B611" t="s">
        <v>14</v>
      </c>
      <c r="C611" t="s">
        <v>30</v>
      </c>
      <c r="D611" t="s">
        <v>23</v>
      </c>
      <c r="E611" t="str">
        <f>TRIM(RIGHT(Table1[[#This Row],[Location]],LEN(Table1[[#This Row],[Location]])-FIND(",",Table1[[#This Row],[Location]])))</f>
        <v>Florida</v>
      </c>
      <c r="F611" t="s">
        <v>364</v>
      </c>
      <c r="G611" t="s">
        <v>79</v>
      </c>
      <c r="H611" t="s">
        <v>51</v>
      </c>
      <c r="I611">
        <v>74426</v>
      </c>
      <c r="J611">
        <v>150</v>
      </c>
      <c r="K611">
        <v>39257</v>
      </c>
      <c r="L611">
        <v>67151</v>
      </c>
      <c r="M611">
        <v>15</v>
      </c>
      <c r="N611">
        <v>1519.596552</v>
      </c>
      <c r="O611" s="7">
        <f>IFERROR(Table1[[#This Row],[Clicks]]/Table1[[#This Row],[Impressions]],0)</f>
        <v>2.0154247171687316E-3</v>
      </c>
      <c r="P611" s="5">
        <f>IFERROR(Table1[[#This Row],[Total Conversions]]/Table1[[#This Row],[Clicks]],0)</f>
        <v>0.1</v>
      </c>
      <c r="Q611" s="10">
        <f>IFERROR(Table1[[#This Row],[Gross Cost]]/Table1[[#This Row],[Total Conversions]],0)</f>
        <v>101.3064368</v>
      </c>
      <c r="R611" s="10">
        <f>IFERROR(Table1[[#This Row],[Gross Cost]]/(Table1[[#This Row],[Impressions]]/1000),0)</f>
        <v>20.417549673501195</v>
      </c>
      <c r="S611" s="5">
        <f>IFERROR(Table1[[#This Row],[Viewable Impressions]]/Table1[[#This Row],[Measurable Impressions]],0)</f>
        <v>0.58460782415749579</v>
      </c>
      <c r="T611" s="10">
        <f>IFERROR(1000*Table1[[#This Row],[Gross Cost]]/Table1[[#This Row],[Viewable Impressions]],0)</f>
        <v>38.708932215910536</v>
      </c>
      <c r="U611" s="10"/>
    </row>
    <row r="612" spans="1:21" x14ac:dyDescent="0.2">
      <c r="A612" t="s">
        <v>247</v>
      </c>
      <c r="B612" t="s">
        <v>14</v>
      </c>
      <c r="C612" t="s">
        <v>15</v>
      </c>
      <c r="D612" t="s">
        <v>16</v>
      </c>
      <c r="E612" t="str">
        <f>TRIM(RIGHT(Table1[[#This Row],[Location]],LEN(Table1[[#This Row],[Location]])-FIND(",",Table1[[#This Row],[Location]])))</f>
        <v>California</v>
      </c>
      <c r="F612" t="s">
        <v>241</v>
      </c>
      <c r="G612" t="s">
        <v>18</v>
      </c>
      <c r="H612" t="s">
        <v>26</v>
      </c>
      <c r="I612">
        <v>88499</v>
      </c>
      <c r="J612">
        <v>186</v>
      </c>
      <c r="K612">
        <v>18950</v>
      </c>
      <c r="L612">
        <v>71458</v>
      </c>
      <c r="M612">
        <v>5</v>
      </c>
      <c r="N612">
        <v>1803.1398119999999</v>
      </c>
      <c r="O612" s="7">
        <f>IFERROR(Table1[[#This Row],[Clicks]]/Table1[[#This Row],[Impressions]],0)</f>
        <v>2.1017186634877229E-3</v>
      </c>
      <c r="P612" s="5">
        <f>IFERROR(Table1[[#This Row],[Total Conversions]]/Table1[[#This Row],[Clicks]],0)</f>
        <v>2.6881720430107527E-2</v>
      </c>
      <c r="Q612" s="10">
        <f>IFERROR(Table1[[#This Row],[Gross Cost]]/Table1[[#This Row],[Total Conversions]],0)</f>
        <v>360.6279624</v>
      </c>
      <c r="R612" s="10">
        <f>IFERROR(Table1[[#This Row],[Gross Cost]]/(Table1[[#This Row],[Impressions]]/1000),0)</f>
        <v>20.374691375043785</v>
      </c>
      <c r="S612" s="5">
        <f>IFERROR(Table1[[#This Row],[Viewable Impressions]]/Table1[[#This Row],[Measurable Impressions]],0)</f>
        <v>0.26519074141453719</v>
      </c>
      <c r="T612" s="10">
        <f>IFERROR(1000*Table1[[#This Row],[Gross Cost]]/Table1[[#This Row],[Viewable Impressions]],0)</f>
        <v>95.152496675461734</v>
      </c>
      <c r="U612" s="10"/>
    </row>
    <row r="613" spans="1:21" x14ac:dyDescent="0.2">
      <c r="A613" t="s">
        <v>319</v>
      </c>
      <c r="B613" t="s">
        <v>14</v>
      </c>
      <c r="C613" t="s">
        <v>15</v>
      </c>
      <c r="D613" t="s">
        <v>16</v>
      </c>
      <c r="E613" t="str">
        <f>TRIM(RIGHT(Table1[[#This Row],[Location]],LEN(Table1[[#This Row],[Location]])-FIND(",",Table1[[#This Row],[Location]])))</f>
        <v>California</v>
      </c>
      <c r="F613" t="s">
        <v>296</v>
      </c>
      <c r="G613" t="s">
        <v>45</v>
      </c>
      <c r="H613" t="s">
        <v>26</v>
      </c>
      <c r="I613">
        <v>77703</v>
      </c>
      <c r="J613">
        <v>204</v>
      </c>
      <c r="K613">
        <v>33478</v>
      </c>
      <c r="L613">
        <v>72874</v>
      </c>
      <c r="M613">
        <v>3</v>
      </c>
      <c r="N613">
        <v>1566.9124059999999</v>
      </c>
      <c r="O613" s="7">
        <f>IFERROR(Table1[[#This Row],[Clicks]]/Table1[[#This Row],[Impressions]],0)</f>
        <v>2.6253812594108335E-3</v>
      </c>
      <c r="P613" s="5">
        <f>IFERROR(Table1[[#This Row],[Total Conversions]]/Table1[[#This Row],[Clicks]],0)</f>
        <v>1.4705882352941176E-2</v>
      </c>
      <c r="Q613" s="10">
        <f>IFERROR(Table1[[#This Row],[Gross Cost]]/Table1[[#This Row],[Total Conversions]],0)</f>
        <v>522.30413533333331</v>
      </c>
      <c r="R613" s="10">
        <f>IFERROR(Table1[[#This Row],[Gross Cost]]/(Table1[[#This Row],[Impressions]]/1000),0)</f>
        <v>20.165404244366368</v>
      </c>
      <c r="S613" s="5">
        <f>IFERROR(Table1[[#This Row],[Viewable Impressions]]/Table1[[#This Row],[Measurable Impressions]],0)</f>
        <v>0.45939566923731373</v>
      </c>
      <c r="T613" s="10">
        <f>IFERROR(1000*Table1[[#This Row],[Gross Cost]]/Table1[[#This Row],[Viewable Impressions]],0)</f>
        <v>46.804241770715095</v>
      </c>
      <c r="U613" s="10"/>
    </row>
    <row r="614" spans="1:21" x14ac:dyDescent="0.2">
      <c r="A614" t="s">
        <v>97</v>
      </c>
      <c r="B614" t="s">
        <v>14</v>
      </c>
      <c r="C614" t="s">
        <v>15</v>
      </c>
      <c r="D614" t="s">
        <v>77</v>
      </c>
      <c r="E614" t="str">
        <f>TRIM(RIGHT(Table1[[#This Row],[Location]],LEN(Table1[[#This Row],[Location]])-FIND(",",Table1[[#This Row],[Location]])))</f>
        <v>New York</v>
      </c>
      <c r="F614" t="s">
        <v>98</v>
      </c>
      <c r="G614" t="s">
        <v>47</v>
      </c>
      <c r="H614" t="s">
        <v>26</v>
      </c>
      <c r="I614">
        <v>75161</v>
      </c>
      <c r="J614">
        <v>280</v>
      </c>
      <c r="K614">
        <v>40385</v>
      </c>
      <c r="L614">
        <v>70325</v>
      </c>
      <c r="M614">
        <v>3</v>
      </c>
      <c r="N614">
        <v>1506.461108</v>
      </c>
      <c r="O614" s="7">
        <f>IFERROR(Table1[[#This Row],[Clicks]]/Table1[[#This Row],[Impressions]],0)</f>
        <v>3.7253362781229627E-3</v>
      </c>
      <c r="P614" s="5">
        <f>IFERROR(Table1[[#This Row],[Total Conversions]]/Table1[[#This Row],[Clicks]],0)</f>
        <v>1.0714285714285714E-2</v>
      </c>
      <c r="Q614" s="10">
        <f>IFERROR(Table1[[#This Row],[Gross Cost]]/Table1[[#This Row],[Total Conversions]],0)</f>
        <v>502.15370266666667</v>
      </c>
      <c r="R614" s="10">
        <f>IFERROR(Table1[[#This Row],[Gross Cost]]/(Table1[[#This Row],[Impressions]]/1000),0)</f>
        <v>20.043122204334693</v>
      </c>
      <c r="S614" s="5">
        <f>IFERROR(Table1[[#This Row],[Viewable Impressions]]/Table1[[#This Row],[Measurable Impressions]],0)</f>
        <v>0.57426235335940279</v>
      </c>
      <c r="T614" s="10">
        <f>IFERROR(1000*Table1[[#This Row],[Gross Cost]]/Table1[[#This Row],[Viewable Impressions]],0)</f>
        <v>37.302491221988362</v>
      </c>
      <c r="U614" s="10"/>
    </row>
    <row r="615" spans="1:21" x14ac:dyDescent="0.2">
      <c r="A615" t="s">
        <v>61</v>
      </c>
      <c r="B615" t="s">
        <v>14</v>
      </c>
      <c r="C615" t="s">
        <v>22</v>
      </c>
      <c r="D615" t="s">
        <v>28</v>
      </c>
      <c r="E615" t="str">
        <f>TRIM(RIGHT(Table1[[#This Row],[Location]],LEN(Table1[[#This Row],[Location]])-FIND(",",Table1[[#This Row],[Location]])))</f>
        <v>California</v>
      </c>
      <c r="F615" t="s">
        <v>57</v>
      </c>
      <c r="G615" t="s">
        <v>18</v>
      </c>
      <c r="H615" t="s">
        <v>51</v>
      </c>
      <c r="I615">
        <v>76439</v>
      </c>
      <c r="J615">
        <v>100</v>
      </c>
      <c r="K615">
        <v>58269</v>
      </c>
      <c r="L615">
        <v>66924</v>
      </c>
      <c r="M615">
        <v>8</v>
      </c>
      <c r="N615">
        <v>1524.8102240000001</v>
      </c>
      <c r="O615" s="7">
        <f>IFERROR(Table1[[#This Row],[Clicks]]/Table1[[#This Row],[Impressions]],0)</f>
        <v>1.3082327084341762E-3</v>
      </c>
      <c r="P615" s="5">
        <f>IFERROR(Table1[[#This Row],[Total Conversions]]/Table1[[#This Row],[Clicks]],0)</f>
        <v>0.08</v>
      </c>
      <c r="Q615" s="10">
        <f>IFERROR(Table1[[#This Row],[Gross Cost]]/Table1[[#This Row],[Total Conversions]],0)</f>
        <v>190.60127800000001</v>
      </c>
      <c r="R615" s="10">
        <f>IFERROR(Table1[[#This Row],[Gross Cost]]/(Table1[[#This Row],[Impressions]]/1000),0)</f>
        <v>19.948066091916434</v>
      </c>
      <c r="S615" s="5">
        <f>IFERROR(Table1[[#This Row],[Viewable Impressions]]/Table1[[#This Row],[Measurable Impressions]],0)</f>
        <v>0.87067419759727449</v>
      </c>
      <c r="T615" s="10">
        <f>IFERROR(1000*Table1[[#This Row],[Gross Cost]]/Table1[[#This Row],[Viewable Impressions]],0)</f>
        <v>26.168463917348852</v>
      </c>
      <c r="U615" s="10"/>
    </row>
    <row r="616" spans="1:21" x14ac:dyDescent="0.2">
      <c r="A616" t="s">
        <v>673</v>
      </c>
      <c r="B616" t="s">
        <v>21</v>
      </c>
      <c r="C616" t="s">
        <v>30</v>
      </c>
      <c r="D616" t="s">
        <v>16</v>
      </c>
      <c r="E616" t="str">
        <f>TRIM(RIGHT(Table1[[#This Row],[Location]],LEN(Table1[[#This Row],[Location]])-FIND(",",Table1[[#This Row],[Location]])))</f>
        <v>California</v>
      </c>
      <c r="F616" t="s">
        <v>668</v>
      </c>
      <c r="G616" t="s">
        <v>25</v>
      </c>
      <c r="H616" t="s">
        <v>26</v>
      </c>
      <c r="I616">
        <v>73544</v>
      </c>
      <c r="J616">
        <v>223</v>
      </c>
      <c r="K616">
        <v>40405</v>
      </c>
      <c r="L616">
        <v>67406</v>
      </c>
      <c r="M616">
        <v>1</v>
      </c>
      <c r="N616">
        <v>1465.8722660000001</v>
      </c>
      <c r="O616" s="7">
        <f>IFERROR(Table1[[#This Row],[Clicks]]/Table1[[#This Row],[Impressions]],0)</f>
        <v>3.0321984118350919E-3</v>
      </c>
      <c r="P616" s="5">
        <f>IFERROR(Table1[[#This Row],[Total Conversions]]/Table1[[#This Row],[Clicks]],0)</f>
        <v>4.4843049327354259E-3</v>
      </c>
      <c r="Q616" s="10">
        <f>IFERROR(Table1[[#This Row],[Gross Cost]]/Table1[[#This Row],[Total Conversions]],0)</f>
        <v>1465.8722660000001</v>
      </c>
      <c r="R616" s="10">
        <f>IFERROR(Table1[[#This Row],[Gross Cost]]/(Table1[[#This Row],[Impressions]]/1000),0)</f>
        <v>19.931908326987926</v>
      </c>
      <c r="S616" s="5">
        <f>IFERROR(Table1[[#This Row],[Viewable Impressions]]/Table1[[#This Row],[Measurable Impressions]],0)</f>
        <v>0.59942735068094832</v>
      </c>
      <c r="T616" s="10">
        <f>IFERROR(1000*Table1[[#This Row],[Gross Cost]]/Table1[[#This Row],[Viewable Impressions]],0)</f>
        <v>36.279476945922539</v>
      </c>
      <c r="U616" s="10"/>
    </row>
    <row r="617" spans="1:21" x14ac:dyDescent="0.2">
      <c r="A617" t="s">
        <v>310</v>
      </c>
      <c r="B617" t="s">
        <v>14</v>
      </c>
      <c r="C617" t="s">
        <v>30</v>
      </c>
      <c r="D617" t="s">
        <v>34</v>
      </c>
      <c r="E617" t="str">
        <f>TRIM(RIGHT(Table1[[#This Row],[Location]],LEN(Table1[[#This Row],[Location]])-FIND(",",Table1[[#This Row],[Location]])))</f>
        <v>Illinois</v>
      </c>
      <c r="F617" t="s">
        <v>296</v>
      </c>
      <c r="G617" t="s">
        <v>18</v>
      </c>
      <c r="H617" t="s">
        <v>26</v>
      </c>
      <c r="I617">
        <v>262807</v>
      </c>
      <c r="J617">
        <v>684</v>
      </c>
      <c r="K617">
        <v>109871</v>
      </c>
      <c r="L617">
        <v>236426</v>
      </c>
      <c r="M617">
        <v>12</v>
      </c>
      <c r="N617">
        <v>5150.4689230000004</v>
      </c>
      <c r="O617" s="7">
        <f>IFERROR(Table1[[#This Row],[Clicks]]/Table1[[#This Row],[Impressions]],0)</f>
        <v>2.6026704007123098E-3</v>
      </c>
      <c r="P617" s="5">
        <f>IFERROR(Table1[[#This Row],[Total Conversions]]/Table1[[#This Row],[Clicks]],0)</f>
        <v>1.7543859649122806E-2</v>
      </c>
      <c r="Q617" s="10">
        <f>IFERROR(Table1[[#This Row],[Gross Cost]]/Table1[[#This Row],[Total Conversions]],0)</f>
        <v>429.20574358333334</v>
      </c>
      <c r="R617" s="10">
        <f>IFERROR(Table1[[#This Row],[Gross Cost]]/(Table1[[#This Row],[Impressions]]/1000),0)</f>
        <v>19.597913765615072</v>
      </c>
      <c r="S617" s="5">
        <f>IFERROR(Table1[[#This Row],[Viewable Impressions]]/Table1[[#This Row],[Measurable Impressions]],0)</f>
        <v>0.46471623256325445</v>
      </c>
      <c r="T617" s="10">
        <f>IFERROR(1000*Table1[[#This Row],[Gross Cost]]/Table1[[#This Row],[Viewable Impressions]],0)</f>
        <v>46.877419182495842</v>
      </c>
      <c r="U617" s="10"/>
    </row>
    <row r="618" spans="1:21" x14ac:dyDescent="0.2">
      <c r="A618" t="s">
        <v>313</v>
      </c>
      <c r="B618" t="s">
        <v>21</v>
      </c>
      <c r="C618" t="s">
        <v>22</v>
      </c>
      <c r="D618" t="s">
        <v>34</v>
      </c>
      <c r="E618" t="str">
        <f>TRIM(RIGHT(Table1[[#This Row],[Location]],LEN(Table1[[#This Row],[Location]])-FIND(",",Table1[[#This Row],[Location]])))</f>
        <v>Illinois</v>
      </c>
      <c r="F618" t="s">
        <v>296</v>
      </c>
      <c r="G618" t="s">
        <v>18</v>
      </c>
      <c r="H618" t="s">
        <v>26</v>
      </c>
      <c r="I618">
        <v>102884</v>
      </c>
      <c r="J618">
        <v>299</v>
      </c>
      <c r="K618">
        <v>42841</v>
      </c>
      <c r="L618">
        <v>96539</v>
      </c>
      <c r="M618">
        <v>6</v>
      </c>
      <c r="N618">
        <v>2015.4483310000001</v>
      </c>
      <c r="O618" s="7">
        <f>IFERROR(Table1[[#This Row],[Clicks]]/Table1[[#This Row],[Impressions]],0)</f>
        <v>2.9061856070914816E-3</v>
      </c>
      <c r="P618" s="5">
        <f>IFERROR(Table1[[#This Row],[Total Conversions]]/Table1[[#This Row],[Clicks]],0)</f>
        <v>2.0066889632107024E-2</v>
      </c>
      <c r="Q618" s="10">
        <f>IFERROR(Table1[[#This Row],[Gross Cost]]/Table1[[#This Row],[Total Conversions]],0)</f>
        <v>335.90805516666666</v>
      </c>
      <c r="R618" s="10">
        <f>IFERROR(Table1[[#This Row],[Gross Cost]]/(Table1[[#This Row],[Impressions]]/1000),0)</f>
        <v>19.589521509661367</v>
      </c>
      <c r="S618" s="5">
        <f>IFERROR(Table1[[#This Row],[Viewable Impressions]]/Table1[[#This Row],[Measurable Impressions]],0)</f>
        <v>0.44376883953635321</v>
      </c>
      <c r="T618" s="10">
        <f>IFERROR(1000*Table1[[#This Row],[Gross Cost]]/Table1[[#This Row],[Viewable Impressions]],0)</f>
        <v>47.044847949394274</v>
      </c>
      <c r="U618" s="10"/>
    </row>
    <row r="619" spans="1:21" x14ac:dyDescent="0.2">
      <c r="A619" t="s">
        <v>996</v>
      </c>
      <c r="B619" t="s">
        <v>14</v>
      </c>
      <c r="C619" t="s">
        <v>15</v>
      </c>
      <c r="D619" t="s">
        <v>31</v>
      </c>
      <c r="E619" t="str">
        <f>TRIM(RIGHT(Table1[[#This Row],[Location]],LEN(Table1[[#This Row],[Location]])-FIND(",",Table1[[#This Row],[Location]])))</f>
        <v>Michigan</v>
      </c>
      <c r="F619" t="s">
        <v>991</v>
      </c>
      <c r="G619" t="s">
        <v>18</v>
      </c>
      <c r="H619" t="s">
        <v>26</v>
      </c>
      <c r="I619">
        <v>310255</v>
      </c>
      <c r="J619">
        <v>970</v>
      </c>
      <c r="K619">
        <v>105054</v>
      </c>
      <c r="L619">
        <v>260998</v>
      </c>
      <c r="M619">
        <v>14</v>
      </c>
      <c r="N619">
        <v>6057.8567220000004</v>
      </c>
      <c r="O619" s="7">
        <f>IFERROR(Table1[[#This Row],[Clicks]]/Table1[[#This Row],[Impressions]],0)</f>
        <v>3.1264604921757908E-3</v>
      </c>
      <c r="P619" s="5">
        <f>IFERROR(Table1[[#This Row],[Total Conversions]]/Table1[[#This Row],[Clicks]],0)</f>
        <v>1.443298969072165E-2</v>
      </c>
      <c r="Q619" s="10">
        <f>IFERROR(Table1[[#This Row],[Gross Cost]]/Table1[[#This Row],[Total Conversions]],0)</f>
        <v>432.70405157142858</v>
      </c>
      <c r="R619" s="10">
        <f>IFERROR(Table1[[#This Row],[Gross Cost]]/(Table1[[#This Row],[Impressions]]/1000),0)</f>
        <v>19.525412070716026</v>
      </c>
      <c r="S619" s="5">
        <f>IFERROR(Table1[[#This Row],[Viewable Impressions]]/Table1[[#This Row],[Measurable Impressions]],0)</f>
        <v>0.40250883148529876</v>
      </c>
      <c r="T619" s="10">
        <f>IFERROR(1000*Table1[[#This Row],[Gross Cost]]/Table1[[#This Row],[Viewable Impressions]],0)</f>
        <v>57.66421765948941</v>
      </c>
      <c r="U619" s="10"/>
    </row>
    <row r="620" spans="1:21" x14ac:dyDescent="0.2">
      <c r="A620" t="s">
        <v>418</v>
      </c>
      <c r="B620" t="s">
        <v>14</v>
      </c>
      <c r="C620" t="s">
        <v>22</v>
      </c>
      <c r="D620" t="s">
        <v>94</v>
      </c>
      <c r="E620" t="str">
        <f>TRIM(RIGHT(Table1[[#This Row],[Location]],LEN(Table1[[#This Row],[Location]])-FIND(",",Table1[[#This Row],[Location]])))</f>
        <v>Florida</v>
      </c>
      <c r="F620" t="s">
        <v>409</v>
      </c>
      <c r="G620" t="s">
        <v>47</v>
      </c>
      <c r="H620" t="s">
        <v>51</v>
      </c>
      <c r="I620">
        <v>76724</v>
      </c>
      <c r="J620">
        <v>187</v>
      </c>
      <c r="K620">
        <v>43209</v>
      </c>
      <c r="L620">
        <v>69530</v>
      </c>
      <c r="M620">
        <v>9</v>
      </c>
      <c r="N620">
        <v>1493.204528</v>
      </c>
      <c r="O620" s="7">
        <f>IFERROR(Table1[[#This Row],[Clicks]]/Table1[[#This Row],[Impressions]],0)</f>
        <v>2.4373077524633751E-3</v>
      </c>
      <c r="P620" s="5">
        <f>IFERROR(Table1[[#This Row],[Total Conversions]]/Table1[[#This Row],[Clicks]],0)</f>
        <v>4.8128342245989303E-2</v>
      </c>
      <c r="Q620" s="10">
        <f>IFERROR(Table1[[#This Row],[Gross Cost]]/Table1[[#This Row],[Total Conversions]],0)</f>
        <v>165.91161422222223</v>
      </c>
      <c r="R620" s="10">
        <f>IFERROR(Table1[[#This Row],[Gross Cost]]/(Table1[[#This Row],[Impressions]]/1000),0)</f>
        <v>19.462026588811845</v>
      </c>
      <c r="S620" s="5">
        <f>IFERROR(Table1[[#This Row],[Viewable Impressions]]/Table1[[#This Row],[Measurable Impressions]],0)</f>
        <v>0.621443981015389</v>
      </c>
      <c r="T620" s="10">
        <f>IFERROR(1000*Table1[[#This Row],[Gross Cost]]/Table1[[#This Row],[Viewable Impressions]],0)</f>
        <v>34.557720104607832</v>
      </c>
      <c r="U620" s="10"/>
    </row>
    <row r="621" spans="1:21" x14ac:dyDescent="0.2">
      <c r="A621" t="s">
        <v>248</v>
      </c>
      <c r="B621" t="s">
        <v>14</v>
      </c>
      <c r="C621" t="s">
        <v>15</v>
      </c>
      <c r="D621" t="s">
        <v>149</v>
      </c>
      <c r="E621" t="str">
        <f>TRIM(RIGHT(Table1[[#This Row],[Location]],LEN(Table1[[#This Row],[Location]])-FIND(",",Table1[[#This Row],[Location]])))</f>
        <v>Indiana</v>
      </c>
      <c r="F621" t="s">
        <v>241</v>
      </c>
      <c r="G621" t="s">
        <v>18</v>
      </c>
      <c r="H621" t="s">
        <v>26</v>
      </c>
      <c r="I621">
        <v>77748</v>
      </c>
      <c r="J621">
        <v>227</v>
      </c>
      <c r="K621">
        <v>6170</v>
      </c>
      <c r="L621">
        <v>53603</v>
      </c>
      <c r="M621">
        <v>3</v>
      </c>
      <c r="N621">
        <v>1498.3009</v>
      </c>
      <c r="O621" s="7">
        <f>IFERROR(Table1[[#This Row],[Clicks]]/Table1[[#This Row],[Impressions]],0)</f>
        <v>2.919689252456655E-3</v>
      </c>
      <c r="P621" s="5">
        <f>IFERROR(Table1[[#This Row],[Total Conversions]]/Table1[[#This Row],[Clicks]],0)</f>
        <v>1.3215859030837005E-2</v>
      </c>
      <c r="Q621" s="10">
        <f>IFERROR(Table1[[#This Row],[Gross Cost]]/Table1[[#This Row],[Total Conversions]],0)</f>
        <v>499.43363333333332</v>
      </c>
      <c r="R621" s="10">
        <f>IFERROR(Table1[[#This Row],[Gross Cost]]/(Table1[[#This Row],[Impressions]]/1000),0)</f>
        <v>19.271246848793535</v>
      </c>
      <c r="S621" s="5">
        <f>IFERROR(Table1[[#This Row],[Viewable Impressions]]/Table1[[#This Row],[Measurable Impressions]],0)</f>
        <v>0.11510549782661418</v>
      </c>
      <c r="T621" s="10">
        <f>IFERROR(1000*Table1[[#This Row],[Gross Cost]]/Table1[[#This Row],[Viewable Impressions]],0)</f>
        <v>242.83645056726093</v>
      </c>
      <c r="U621" s="10"/>
    </row>
    <row r="622" spans="1:21" x14ac:dyDescent="0.2">
      <c r="A622" t="s">
        <v>341</v>
      </c>
      <c r="B622" t="s">
        <v>21</v>
      </c>
      <c r="C622" t="s">
        <v>41</v>
      </c>
      <c r="D622" t="s">
        <v>54</v>
      </c>
      <c r="E622" t="str">
        <f>TRIM(RIGHT(Table1[[#This Row],[Location]],LEN(Table1[[#This Row],[Location]])-FIND(",",Table1[[#This Row],[Location]])))</f>
        <v>Florida</v>
      </c>
      <c r="F622" t="s">
        <v>340</v>
      </c>
      <c r="G622" t="s">
        <v>45</v>
      </c>
      <c r="H622" t="s">
        <v>26</v>
      </c>
      <c r="I622">
        <v>82916</v>
      </c>
      <c r="J622">
        <v>199</v>
      </c>
      <c r="K622">
        <v>24951</v>
      </c>
      <c r="L622">
        <v>77333</v>
      </c>
      <c r="M622">
        <v>12</v>
      </c>
      <c r="N622">
        <v>1584.8212470000001</v>
      </c>
      <c r="O622" s="7">
        <f>IFERROR(Table1[[#This Row],[Clicks]]/Table1[[#This Row],[Impressions]],0)</f>
        <v>2.4000192966375611E-3</v>
      </c>
      <c r="P622" s="5">
        <f>IFERROR(Table1[[#This Row],[Total Conversions]]/Table1[[#This Row],[Clicks]],0)</f>
        <v>6.030150753768844E-2</v>
      </c>
      <c r="Q622" s="10">
        <f>IFERROR(Table1[[#This Row],[Gross Cost]]/Table1[[#This Row],[Total Conversions]],0)</f>
        <v>132.06843725000002</v>
      </c>
      <c r="R622" s="10">
        <f>IFERROR(Table1[[#This Row],[Gross Cost]]/(Table1[[#This Row],[Impressions]]/1000),0)</f>
        <v>19.113575751362827</v>
      </c>
      <c r="S622" s="5">
        <f>IFERROR(Table1[[#This Row],[Viewable Impressions]]/Table1[[#This Row],[Measurable Impressions]],0)</f>
        <v>0.32264363208462105</v>
      </c>
      <c r="T622" s="10">
        <f>IFERROR(1000*Table1[[#This Row],[Gross Cost]]/Table1[[#This Row],[Viewable Impressions]],0)</f>
        <v>63.517343873993028</v>
      </c>
      <c r="U622" s="10"/>
    </row>
    <row r="623" spans="1:21" x14ac:dyDescent="0.2">
      <c r="A623" t="s">
        <v>797</v>
      </c>
      <c r="B623" t="s">
        <v>60</v>
      </c>
      <c r="C623" t="s">
        <v>22</v>
      </c>
      <c r="D623" t="s">
        <v>44</v>
      </c>
      <c r="E623" t="str">
        <f>TRIM(RIGHT(Table1[[#This Row],[Location]],LEN(Table1[[#This Row],[Location]])-FIND(",",Table1[[#This Row],[Location]])))</f>
        <v>Florida</v>
      </c>
      <c r="F623" t="s">
        <v>794</v>
      </c>
      <c r="G623" t="s">
        <v>18</v>
      </c>
      <c r="H623" t="s">
        <v>26</v>
      </c>
      <c r="I623">
        <v>81054</v>
      </c>
      <c r="J623">
        <v>265</v>
      </c>
      <c r="K623">
        <v>56762</v>
      </c>
      <c r="L623">
        <v>76198</v>
      </c>
      <c r="M623">
        <v>16</v>
      </c>
      <c r="N623">
        <v>1532.357841</v>
      </c>
      <c r="O623" s="7">
        <f>IFERROR(Table1[[#This Row],[Clicks]]/Table1[[#This Row],[Impressions]],0)</f>
        <v>3.2694253213906778E-3</v>
      </c>
      <c r="P623" s="5">
        <f>IFERROR(Table1[[#This Row],[Total Conversions]]/Table1[[#This Row],[Clicks]],0)</f>
        <v>6.0377358490566038E-2</v>
      </c>
      <c r="Q623" s="10">
        <f>IFERROR(Table1[[#This Row],[Gross Cost]]/Table1[[#This Row],[Total Conversions]],0)</f>
        <v>95.7723650625</v>
      </c>
      <c r="R623" s="10">
        <f>IFERROR(Table1[[#This Row],[Gross Cost]]/(Table1[[#This Row],[Impressions]]/1000),0)</f>
        <v>18.905394440743208</v>
      </c>
      <c r="S623" s="5">
        <f>IFERROR(Table1[[#This Row],[Viewable Impressions]]/Table1[[#This Row],[Measurable Impressions]],0)</f>
        <v>0.74492768839077139</v>
      </c>
      <c r="T623" s="10">
        <f>IFERROR(1000*Table1[[#This Row],[Gross Cost]]/Table1[[#This Row],[Viewable Impressions]],0)</f>
        <v>26.996191836087522</v>
      </c>
      <c r="U623" s="10"/>
    </row>
    <row r="624" spans="1:21" x14ac:dyDescent="0.2">
      <c r="A624" t="s">
        <v>416</v>
      </c>
      <c r="B624" t="s">
        <v>21</v>
      </c>
      <c r="C624" t="s">
        <v>22</v>
      </c>
      <c r="D624" t="s">
        <v>239</v>
      </c>
      <c r="E624" t="str">
        <f>TRIM(RIGHT(Table1[[#This Row],[Location]],LEN(Table1[[#This Row],[Location]])-FIND(",",Table1[[#This Row],[Location]])))</f>
        <v>Tennessee</v>
      </c>
      <c r="F624" t="s">
        <v>409</v>
      </c>
      <c r="G624" t="s">
        <v>18</v>
      </c>
      <c r="H624" t="s">
        <v>26</v>
      </c>
      <c r="I624">
        <v>91593</v>
      </c>
      <c r="J624">
        <v>40</v>
      </c>
      <c r="K624">
        <v>51004</v>
      </c>
      <c r="L624">
        <v>82985</v>
      </c>
      <c r="M624">
        <v>18</v>
      </c>
      <c r="N624">
        <v>1731.5848619999999</v>
      </c>
      <c r="O624" s="7">
        <f>IFERROR(Table1[[#This Row],[Clicks]]/Table1[[#This Row],[Impressions]],0)</f>
        <v>4.3671459609358795E-4</v>
      </c>
      <c r="P624" s="5">
        <f>IFERROR(Table1[[#This Row],[Total Conversions]]/Table1[[#This Row],[Clicks]],0)</f>
        <v>0.45</v>
      </c>
      <c r="Q624" s="10">
        <f>IFERROR(Table1[[#This Row],[Gross Cost]]/Table1[[#This Row],[Total Conversions]],0)</f>
        <v>96.199158999999995</v>
      </c>
      <c r="R624" s="10">
        <f>IFERROR(Table1[[#This Row],[Gross Cost]]/(Table1[[#This Row],[Impressions]]/1000),0)</f>
        <v>18.905209590252529</v>
      </c>
      <c r="S624" s="5">
        <f>IFERROR(Table1[[#This Row],[Viewable Impressions]]/Table1[[#This Row],[Measurable Impressions]],0)</f>
        <v>0.61461709947580889</v>
      </c>
      <c r="T624" s="10">
        <f>IFERROR(1000*Table1[[#This Row],[Gross Cost]]/Table1[[#This Row],[Viewable Impressions]],0)</f>
        <v>33.949981609285544</v>
      </c>
      <c r="U624" s="10"/>
    </row>
    <row r="625" spans="1:21" x14ac:dyDescent="0.2">
      <c r="A625" t="s">
        <v>873</v>
      </c>
      <c r="B625" t="s">
        <v>14</v>
      </c>
      <c r="C625" t="s">
        <v>15</v>
      </c>
      <c r="D625" t="s">
        <v>34</v>
      </c>
      <c r="E625" t="str">
        <f>TRIM(RIGHT(Table1[[#This Row],[Location]],LEN(Table1[[#This Row],[Location]])-FIND(",",Table1[[#This Row],[Location]])))</f>
        <v>Illinois</v>
      </c>
      <c r="F625" t="s">
        <v>872</v>
      </c>
      <c r="G625" t="s">
        <v>18</v>
      </c>
      <c r="H625" t="s">
        <v>26</v>
      </c>
      <c r="I625">
        <v>357707</v>
      </c>
      <c r="J625">
        <v>951</v>
      </c>
      <c r="K625">
        <v>203987</v>
      </c>
      <c r="L625">
        <v>338107</v>
      </c>
      <c r="M625">
        <v>74</v>
      </c>
      <c r="N625">
        <v>6749.2023529999997</v>
      </c>
      <c r="O625" s="7">
        <f>IFERROR(Table1[[#This Row],[Clicks]]/Table1[[#This Row],[Impressions]],0)</f>
        <v>2.6586004746901792E-3</v>
      </c>
      <c r="P625" s="5">
        <f>IFERROR(Table1[[#This Row],[Total Conversions]]/Table1[[#This Row],[Clicks]],0)</f>
        <v>7.7812828601472137E-2</v>
      </c>
      <c r="Q625" s="10">
        <f>IFERROR(Table1[[#This Row],[Gross Cost]]/Table1[[#This Row],[Total Conversions]],0)</f>
        <v>91.205437202702697</v>
      </c>
      <c r="R625" s="10">
        <f>IFERROR(Table1[[#This Row],[Gross Cost]]/(Table1[[#This Row],[Impressions]]/1000),0)</f>
        <v>18.867962754433098</v>
      </c>
      <c r="S625" s="5">
        <f>IFERROR(Table1[[#This Row],[Viewable Impressions]]/Table1[[#This Row],[Measurable Impressions]],0)</f>
        <v>0.60332084221858762</v>
      </c>
      <c r="T625" s="10">
        <f>IFERROR(1000*Table1[[#This Row],[Gross Cost]]/Table1[[#This Row],[Viewable Impressions]],0)</f>
        <v>33.086433709010869</v>
      </c>
      <c r="U625" s="10"/>
    </row>
    <row r="626" spans="1:21" x14ac:dyDescent="0.2">
      <c r="A626" t="s">
        <v>936</v>
      </c>
      <c r="B626" t="s">
        <v>21</v>
      </c>
      <c r="C626" t="s">
        <v>15</v>
      </c>
      <c r="D626" t="s">
        <v>28</v>
      </c>
      <c r="E626" t="str">
        <f>TRIM(RIGHT(Table1[[#This Row],[Location]],LEN(Table1[[#This Row],[Location]])-FIND(",",Table1[[#This Row],[Location]])))</f>
        <v>California</v>
      </c>
      <c r="F626" t="s">
        <v>918</v>
      </c>
      <c r="G626" t="s">
        <v>18</v>
      </c>
      <c r="H626" t="s">
        <v>26</v>
      </c>
      <c r="I626">
        <v>212009</v>
      </c>
      <c r="J626">
        <v>555</v>
      </c>
      <c r="K626">
        <v>16903</v>
      </c>
      <c r="L626">
        <v>149653</v>
      </c>
      <c r="M626">
        <v>15</v>
      </c>
      <c r="N626">
        <v>3983.6217969999998</v>
      </c>
      <c r="O626" s="7">
        <f>IFERROR(Table1[[#This Row],[Clicks]]/Table1[[#This Row],[Impressions]],0)</f>
        <v>2.6178133947143754E-3</v>
      </c>
      <c r="P626" s="5">
        <f>IFERROR(Table1[[#This Row],[Total Conversions]]/Table1[[#This Row],[Clicks]],0)</f>
        <v>2.7027027027027029E-2</v>
      </c>
      <c r="Q626" s="10">
        <f>IFERROR(Table1[[#This Row],[Gross Cost]]/Table1[[#This Row],[Total Conversions]],0)</f>
        <v>265.57478646666664</v>
      </c>
      <c r="R626" s="10">
        <f>IFERROR(Table1[[#This Row],[Gross Cost]]/(Table1[[#This Row],[Impressions]]/1000),0)</f>
        <v>18.789871170563515</v>
      </c>
      <c r="S626" s="5">
        <f>IFERROR(Table1[[#This Row],[Viewable Impressions]]/Table1[[#This Row],[Measurable Impressions]],0)</f>
        <v>0.11294795293111398</v>
      </c>
      <c r="T626" s="10">
        <f>IFERROR(1000*Table1[[#This Row],[Gross Cost]]/Table1[[#This Row],[Viewable Impressions]],0)</f>
        <v>235.67543021948765</v>
      </c>
      <c r="U626" s="10"/>
    </row>
    <row r="627" spans="1:21" x14ac:dyDescent="0.2">
      <c r="A627" t="s">
        <v>526</v>
      </c>
      <c r="B627" t="s">
        <v>14</v>
      </c>
      <c r="C627" t="s">
        <v>22</v>
      </c>
      <c r="D627" t="s">
        <v>16</v>
      </c>
      <c r="E627" t="str">
        <f>TRIM(RIGHT(Table1[[#This Row],[Location]],LEN(Table1[[#This Row],[Location]])-FIND(",",Table1[[#This Row],[Location]])))</f>
        <v>California</v>
      </c>
      <c r="F627" t="s">
        <v>517</v>
      </c>
      <c r="G627" t="s">
        <v>18</v>
      </c>
      <c r="H627" t="s">
        <v>26</v>
      </c>
      <c r="I627">
        <v>224359</v>
      </c>
      <c r="J627">
        <v>480</v>
      </c>
      <c r="K627">
        <v>163149</v>
      </c>
      <c r="L627">
        <v>200859</v>
      </c>
      <c r="M627">
        <v>5</v>
      </c>
      <c r="N627">
        <v>4196.9367769999999</v>
      </c>
      <c r="O627" s="7">
        <f>IFERROR(Table1[[#This Row],[Clicks]]/Table1[[#This Row],[Impressions]],0)</f>
        <v>2.139428326922477E-3</v>
      </c>
      <c r="P627" s="5">
        <f>IFERROR(Table1[[#This Row],[Total Conversions]]/Table1[[#This Row],[Clicks]],0)</f>
        <v>1.0416666666666666E-2</v>
      </c>
      <c r="Q627" s="10">
        <f>IFERROR(Table1[[#This Row],[Gross Cost]]/Table1[[#This Row],[Total Conversions]],0)</f>
        <v>839.38735539999993</v>
      </c>
      <c r="R627" s="10">
        <f>IFERROR(Table1[[#This Row],[Gross Cost]]/(Table1[[#This Row],[Impressions]]/1000),0)</f>
        <v>18.706344639617754</v>
      </c>
      <c r="S627" s="5">
        <f>IFERROR(Table1[[#This Row],[Viewable Impressions]]/Table1[[#This Row],[Measurable Impressions]],0)</f>
        <v>0.81225635893835979</v>
      </c>
      <c r="T627" s="10">
        <f>IFERROR(1000*Table1[[#This Row],[Gross Cost]]/Table1[[#This Row],[Viewable Impressions]],0)</f>
        <v>25.724563294902204</v>
      </c>
      <c r="U627" s="10"/>
    </row>
    <row r="628" spans="1:21" x14ac:dyDescent="0.2">
      <c r="A628" t="s">
        <v>759</v>
      </c>
      <c r="B628" t="s">
        <v>21</v>
      </c>
      <c r="C628" t="s">
        <v>15</v>
      </c>
      <c r="D628" t="s">
        <v>54</v>
      </c>
      <c r="E628" t="str">
        <f>TRIM(RIGHT(Table1[[#This Row],[Location]],LEN(Table1[[#This Row],[Location]])-FIND(",",Table1[[#This Row],[Location]])))</f>
        <v>Florida</v>
      </c>
      <c r="F628" t="s">
        <v>742</v>
      </c>
      <c r="G628" t="s">
        <v>18</v>
      </c>
      <c r="H628" t="s">
        <v>26</v>
      </c>
      <c r="I628">
        <v>104814</v>
      </c>
      <c r="J628">
        <v>369</v>
      </c>
      <c r="K628">
        <v>55984</v>
      </c>
      <c r="L628">
        <v>99432</v>
      </c>
      <c r="M628">
        <v>5</v>
      </c>
      <c r="N628">
        <v>1942.8475129999999</v>
      </c>
      <c r="O628" s="7">
        <f>IFERROR(Table1[[#This Row],[Clicks]]/Table1[[#This Row],[Impressions]],0)</f>
        <v>3.5205220676627169E-3</v>
      </c>
      <c r="P628" s="5">
        <f>IFERROR(Table1[[#This Row],[Total Conversions]]/Table1[[#This Row],[Clicks]],0)</f>
        <v>1.3550135501355014E-2</v>
      </c>
      <c r="Q628" s="10">
        <f>IFERROR(Table1[[#This Row],[Gross Cost]]/Table1[[#This Row],[Total Conversions]],0)</f>
        <v>388.56950259999996</v>
      </c>
      <c r="R628" s="10">
        <f>IFERROR(Table1[[#This Row],[Gross Cost]]/(Table1[[#This Row],[Impressions]]/1000),0)</f>
        <v>18.536145104661593</v>
      </c>
      <c r="S628" s="5">
        <f>IFERROR(Table1[[#This Row],[Viewable Impressions]]/Table1[[#This Row],[Measurable Impressions]],0)</f>
        <v>0.56303805615898306</v>
      </c>
      <c r="T628" s="10">
        <f>IFERROR(1000*Table1[[#This Row],[Gross Cost]]/Table1[[#This Row],[Viewable Impressions]],0)</f>
        <v>34.703620909545585</v>
      </c>
      <c r="U628" s="10"/>
    </row>
    <row r="629" spans="1:21" x14ac:dyDescent="0.2">
      <c r="A629" t="s">
        <v>706</v>
      </c>
      <c r="B629" t="s">
        <v>21</v>
      </c>
      <c r="C629" t="s">
        <v>30</v>
      </c>
      <c r="D629" t="s">
        <v>54</v>
      </c>
      <c r="E629" t="str">
        <f>TRIM(RIGHT(Table1[[#This Row],[Location]],LEN(Table1[[#This Row],[Location]])-FIND(",",Table1[[#This Row],[Location]])))</f>
        <v>Florida</v>
      </c>
      <c r="F629" t="s">
        <v>701</v>
      </c>
      <c r="G629" t="s">
        <v>45</v>
      </c>
      <c r="H629" t="s">
        <v>26</v>
      </c>
      <c r="I629">
        <v>264580</v>
      </c>
      <c r="J629">
        <v>691</v>
      </c>
      <c r="K629">
        <v>217526</v>
      </c>
      <c r="L629">
        <v>240731</v>
      </c>
      <c r="M629">
        <v>9</v>
      </c>
      <c r="N629">
        <v>4874.6517219999996</v>
      </c>
      <c r="O629" s="7">
        <f>IFERROR(Table1[[#This Row],[Clicks]]/Table1[[#This Row],[Impressions]],0)</f>
        <v>2.6116864464434198E-3</v>
      </c>
      <c r="P629" s="5">
        <f>IFERROR(Table1[[#This Row],[Total Conversions]]/Table1[[#This Row],[Clicks]],0)</f>
        <v>1.3024602026049204E-2</v>
      </c>
      <c r="Q629" s="10">
        <f>IFERROR(Table1[[#This Row],[Gross Cost]]/Table1[[#This Row],[Total Conversions]],0)</f>
        <v>541.62796911111104</v>
      </c>
      <c r="R629" s="10">
        <f>IFERROR(Table1[[#This Row],[Gross Cost]]/(Table1[[#This Row],[Impressions]]/1000),0)</f>
        <v>18.424112638899388</v>
      </c>
      <c r="S629" s="5">
        <f>IFERROR(Table1[[#This Row],[Viewable Impressions]]/Table1[[#This Row],[Measurable Impressions]],0)</f>
        <v>0.90360609975449779</v>
      </c>
      <c r="T629" s="10">
        <f>IFERROR(1000*Table1[[#This Row],[Gross Cost]]/Table1[[#This Row],[Viewable Impressions]],0)</f>
        <v>22.409512986953285</v>
      </c>
      <c r="U629" s="10"/>
    </row>
    <row r="630" spans="1:21" x14ac:dyDescent="0.2">
      <c r="A630" t="s">
        <v>1013</v>
      </c>
      <c r="B630" t="s">
        <v>14</v>
      </c>
      <c r="C630" t="s">
        <v>22</v>
      </c>
      <c r="D630" t="s">
        <v>23</v>
      </c>
      <c r="E630" t="str">
        <f>TRIM(RIGHT(Table1[[#This Row],[Location]],LEN(Table1[[#This Row],[Location]])-FIND(",",Table1[[#This Row],[Location]])))</f>
        <v>Florida</v>
      </c>
      <c r="F630" t="s">
        <v>991</v>
      </c>
      <c r="G630" t="s">
        <v>45</v>
      </c>
      <c r="H630" t="s">
        <v>26</v>
      </c>
      <c r="I630">
        <v>85965</v>
      </c>
      <c r="J630">
        <v>233</v>
      </c>
      <c r="K630">
        <v>33865</v>
      </c>
      <c r="L630">
        <v>78662</v>
      </c>
      <c r="M630">
        <v>3</v>
      </c>
      <c r="N630">
        <v>1555.5348120000001</v>
      </c>
      <c r="O630" s="7">
        <f>IFERROR(Table1[[#This Row],[Clicks]]/Table1[[#This Row],[Impressions]],0)</f>
        <v>2.7104053975455125E-3</v>
      </c>
      <c r="P630" s="5">
        <f>IFERROR(Table1[[#This Row],[Total Conversions]]/Table1[[#This Row],[Clicks]],0)</f>
        <v>1.2875536480686695E-2</v>
      </c>
      <c r="Q630" s="10">
        <f>IFERROR(Table1[[#This Row],[Gross Cost]]/Table1[[#This Row],[Total Conversions]],0)</f>
        <v>518.51160400000003</v>
      </c>
      <c r="R630" s="10">
        <f>IFERROR(Table1[[#This Row],[Gross Cost]]/(Table1[[#This Row],[Impressions]]/1000),0)</f>
        <v>18.094978328389463</v>
      </c>
      <c r="S630" s="5">
        <f>IFERROR(Table1[[#This Row],[Viewable Impressions]]/Table1[[#This Row],[Measurable Impressions]],0)</f>
        <v>0.43051282703211208</v>
      </c>
      <c r="T630" s="10">
        <f>IFERROR(1000*Table1[[#This Row],[Gross Cost]]/Table1[[#This Row],[Viewable Impressions]],0)</f>
        <v>45.933406525911714</v>
      </c>
      <c r="U630" s="10"/>
    </row>
    <row r="631" spans="1:21" x14ac:dyDescent="0.2">
      <c r="A631" t="s">
        <v>318</v>
      </c>
      <c r="B631" t="s">
        <v>21</v>
      </c>
      <c r="C631" t="s">
        <v>22</v>
      </c>
      <c r="D631" t="s">
        <v>34</v>
      </c>
      <c r="E631" t="str">
        <f>TRIM(RIGHT(Table1[[#This Row],[Location]],LEN(Table1[[#This Row],[Location]])-FIND(",",Table1[[#This Row],[Location]])))</f>
        <v>Illinois</v>
      </c>
      <c r="F631" t="s">
        <v>296</v>
      </c>
      <c r="G631" t="s">
        <v>45</v>
      </c>
      <c r="H631" t="s">
        <v>26</v>
      </c>
      <c r="I631">
        <v>87287</v>
      </c>
      <c r="J631">
        <v>203</v>
      </c>
      <c r="K631">
        <v>40039</v>
      </c>
      <c r="L631">
        <v>80040</v>
      </c>
      <c r="M631">
        <v>18</v>
      </c>
      <c r="N631">
        <v>1579.367346</v>
      </c>
      <c r="O631" s="7">
        <f>IFERROR(Table1[[#This Row],[Clicks]]/Table1[[#This Row],[Impressions]],0)</f>
        <v>2.3256613241376149E-3</v>
      </c>
      <c r="P631" s="5">
        <f>IFERROR(Table1[[#This Row],[Total Conversions]]/Table1[[#This Row],[Clicks]],0)</f>
        <v>8.8669950738916259E-2</v>
      </c>
      <c r="Q631" s="10">
        <f>IFERROR(Table1[[#This Row],[Gross Cost]]/Table1[[#This Row],[Total Conversions]],0)</f>
        <v>87.742630333333338</v>
      </c>
      <c r="R631" s="10">
        <f>IFERROR(Table1[[#This Row],[Gross Cost]]/(Table1[[#This Row],[Impressions]]/1000),0)</f>
        <v>18.09395839013828</v>
      </c>
      <c r="S631" s="5">
        <f>IFERROR(Table1[[#This Row],[Viewable Impressions]]/Table1[[#This Row],[Measurable Impressions]],0)</f>
        <v>0.50023738130934536</v>
      </c>
      <c r="T631" s="10">
        <f>IFERROR(1000*Table1[[#This Row],[Gross Cost]]/Table1[[#This Row],[Viewable Impressions]],0)</f>
        <v>39.445724069032693</v>
      </c>
      <c r="U631" s="10"/>
    </row>
    <row r="632" spans="1:21" x14ac:dyDescent="0.2">
      <c r="A632" t="s">
        <v>481</v>
      </c>
      <c r="B632" t="s">
        <v>14</v>
      </c>
      <c r="C632" t="s">
        <v>30</v>
      </c>
      <c r="D632" t="s">
        <v>28</v>
      </c>
      <c r="E632" t="str">
        <f>TRIM(RIGHT(Table1[[#This Row],[Location]],LEN(Table1[[#This Row],[Location]])-FIND(",",Table1[[#This Row],[Location]])))</f>
        <v>California</v>
      </c>
      <c r="F632" t="s">
        <v>479</v>
      </c>
      <c r="G632" t="s">
        <v>35</v>
      </c>
      <c r="H632" t="s">
        <v>19</v>
      </c>
      <c r="I632">
        <v>81486</v>
      </c>
      <c r="J632">
        <v>193</v>
      </c>
      <c r="K632">
        <v>57653</v>
      </c>
      <c r="L632">
        <v>76803</v>
      </c>
      <c r="M632">
        <v>6</v>
      </c>
      <c r="N632">
        <v>1463.8428739999999</v>
      </c>
      <c r="O632" s="7">
        <f>IFERROR(Table1[[#This Row],[Clicks]]/Table1[[#This Row],[Impressions]],0)</f>
        <v>2.3685050192671134E-3</v>
      </c>
      <c r="P632" s="5">
        <f>IFERROR(Table1[[#This Row],[Total Conversions]]/Table1[[#This Row],[Clicks]],0)</f>
        <v>3.1088082901554404E-2</v>
      </c>
      <c r="Q632" s="10">
        <f>IFERROR(Table1[[#This Row],[Gross Cost]]/Table1[[#This Row],[Total Conversions]],0)</f>
        <v>243.97381233333331</v>
      </c>
      <c r="R632" s="10">
        <f>IFERROR(Table1[[#This Row],[Gross Cost]]/(Table1[[#This Row],[Impressions]]/1000),0)</f>
        <v>17.964348157965784</v>
      </c>
      <c r="S632" s="5">
        <f>IFERROR(Table1[[#This Row],[Viewable Impressions]]/Table1[[#This Row],[Measurable Impressions]],0)</f>
        <v>0.75066078147989013</v>
      </c>
      <c r="T632" s="10">
        <f>IFERROR(1000*Table1[[#This Row],[Gross Cost]]/Table1[[#This Row],[Viewable Impressions]],0)</f>
        <v>25.390575928399212</v>
      </c>
      <c r="U632" s="10"/>
    </row>
    <row r="633" spans="1:21" x14ac:dyDescent="0.2">
      <c r="A633" t="s">
        <v>715</v>
      </c>
      <c r="B633" t="s">
        <v>14</v>
      </c>
      <c r="C633" t="s">
        <v>30</v>
      </c>
      <c r="D633" t="s">
        <v>28</v>
      </c>
      <c r="E633" t="str">
        <f>TRIM(RIGHT(Table1[[#This Row],[Location]],LEN(Table1[[#This Row],[Location]])-FIND(",",Table1[[#This Row],[Location]])))</f>
        <v>California</v>
      </c>
      <c r="F633" t="s">
        <v>701</v>
      </c>
      <c r="G633" t="s">
        <v>45</v>
      </c>
      <c r="H633" t="s">
        <v>19</v>
      </c>
      <c r="I633">
        <v>87245</v>
      </c>
      <c r="J633">
        <v>350</v>
      </c>
      <c r="K633">
        <v>71903</v>
      </c>
      <c r="L633">
        <v>80390</v>
      </c>
      <c r="M633">
        <v>2</v>
      </c>
      <c r="N633">
        <v>1500.838771</v>
      </c>
      <c r="O633" s="7">
        <f>IFERROR(Table1[[#This Row],[Clicks]]/Table1[[#This Row],[Impressions]],0)</f>
        <v>4.0116912143962407E-3</v>
      </c>
      <c r="P633" s="5">
        <f>IFERROR(Table1[[#This Row],[Total Conversions]]/Table1[[#This Row],[Clicks]],0)</f>
        <v>5.7142857142857143E-3</v>
      </c>
      <c r="Q633" s="10">
        <f>IFERROR(Table1[[#This Row],[Gross Cost]]/Table1[[#This Row],[Total Conversions]],0)</f>
        <v>750.41938549999998</v>
      </c>
      <c r="R633" s="10">
        <f>IFERROR(Table1[[#This Row],[Gross Cost]]/(Table1[[#This Row],[Impressions]]/1000),0)</f>
        <v>17.20257631955986</v>
      </c>
      <c r="S633" s="5">
        <f>IFERROR(Table1[[#This Row],[Viewable Impressions]]/Table1[[#This Row],[Measurable Impressions]],0)</f>
        <v>0.89442716755815399</v>
      </c>
      <c r="T633" s="10">
        <f>IFERROR(1000*Table1[[#This Row],[Gross Cost]]/Table1[[#This Row],[Viewable Impressions]],0)</f>
        <v>20.873103639625604</v>
      </c>
      <c r="U633" s="10"/>
    </row>
    <row r="634" spans="1:21" x14ac:dyDescent="0.2">
      <c r="A634" t="s">
        <v>877</v>
      </c>
      <c r="B634" t="s">
        <v>21</v>
      </c>
      <c r="C634" t="s">
        <v>41</v>
      </c>
      <c r="D634" t="s">
        <v>44</v>
      </c>
      <c r="E634" t="str">
        <f>TRIM(RIGHT(Table1[[#This Row],[Location]],LEN(Table1[[#This Row],[Location]])-FIND(",",Table1[[#This Row],[Location]])))</f>
        <v>Florida</v>
      </c>
      <c r="F634" t="s">
        <v>872</v>
      </c>
      <c r="G634" t="s">
        <v>18</v>
      </c>
      <c r="H634" t="s">
        <v>26</v>
      </c>
      <c r="I634">
        <v>97346</v>
      </c>
      <c r="J634">
        <v>790</v>
      </c>
      <c r="K634">
        <v>44118</v>
      </c>
      <c r="L634">
        <v>91080</v>
      </c>
      <c r="M634">
        <v>19</v>
      </c>
      <c r="N634">
        <v>1657.5648699999999</v>
      </c>
      <c r="O634" s="7">
        <f>IFERROR(Table1[[#This Row],[Clicks]]/Table1[[#This Row],[Impressions]],0)</f>
        <v>8.115382244776365E-3</v>
      </c>
      <c r="P634" s="5">
        <f>IFERROR(Table1[[#This Row],[Total Conversions]]/Table1[[#This Row],[Clicks]],0)</f>
        <v>2.4050632911392405E-2</v>
      </c>
      <c r="Q634" s="10">
        <f>IFERROR(Table1[[#This Row],[Gross Cost]]/Table1[[#This Row],[Total Conversions]],0)</f>
        <v>87.240256315789466</v>
      </c>
      <c r="R634" s="10">
        <f>IFERROR(Table1[[#This Row],[Gross Cost]]/(Table1[[#This Row],[Impressions]]/1000),0)</f>
        <v>17.027560146282333</v>
      </c>
      <c r="S634" s="5">
        <f>IFERROR(Table1[[#This Row],[Viewable Impressions]]/Table1[[#This Row],[Measurable Impressions]],0)</f>
        <v>0.48438735177865611</v>
      </c>
      <c r="T634" s="10">
        <f>IFERROR(1000*Table1[[#This Row],[Gross Cost]]/Table1[[#This Row],[Viewable Impressions]],0)</f>
        <v>37.571169817308125</v>
      </c>
      <c r="U634" s="10"/>
    </row>
    <row r="635" spans="1:21" x14ac:dyDescent="0.2">
      <c r="A635" t="s">
        <v>532</v>
      </c>
      <c r="B635" t="s">
        <v>14</v>
      </c>
      <c r="C635" t="s">
        <v>15</v>
      </c>
      <c r="D635" t="s">
        <v>77</v>
      </c>
      <c r="E635" t="str">
        <f>TRIM(RIGHT(Table1[[#This Row],[Location]],LEN(Table1[[#This Row],[Location]])-FIND(",",Table1[[#This Row],[Location]])))</f>
        <v>New York</v>
      </c>
      <c r="F635" t="s">
        <v>517</v>
      </c>
      <c r="G635" t="s">
        <v>18</v>
      </c>
      <c r="H635" t="s">
        <v>26</v>
      </c>
      <c r="I635">
        <v>92806</v>
      </c>
      <c r="J635">
        <v>212</v>
      </c>
      <c r="K635">
        <v>67534</v>
      </c>
      <c r="L635">
        <v>85013</v>
      </c>
      <c r="M635">
        <v>11</v>
      </c>
      <c r="N635">
        <v>1579.379602</v>
      </c>
      <c r="O635" s="7">
        <f>IFERROR(Table1[[#This Row],[Clicks]]/Table1[[#This Row],[Impressions]],0)</f>
        <v>2.2843350645432407E-3</v>
      </c>
      <c r="P635" s="5">
        <f>IFERROR(Table1[[#This Row],[Total Conversions]]/Table1[[#This Row],[Clicks]],0)</f>
        <v>5.1886792452830191E-2</v>
      </c>
      <c r="Q635" s="10">
        <f>IFERROR(Table1[[#This Row],[Gross Cost]]/Table1[[#This Row],[Total Conversions]],0)</f>
        <v>143.57996381818182</v>
      </c>
      <c r="R635" s="10">
        <f>IFERROR(Table1[[#This Row],[Gross Cost]]/(Table1[[#This Row],[Impressions]]/1000),0)</f>
        <v>17.018076439023339</v>
      </c>
      <c r="S635" s="5">
        <f>IFERROR(Table1[[#This Row],[Viewable Impressions]]/Table1[[#This Row],[Measurable Impressions]],0)</f>
        <v>0.79439615117687878</v>
      </c>
      <c r="T635" s="10">
        <f>IFERROR(1000*Table1[[#This Row],[Gross Cost]]/Table1[[#This Row],[Viewable Impressions]],0)</f>
        <v>23.386436491248851</v>
      </c>
      <c r="U635" s="10"/>
    </row>
    <row r="636" spans="1:21" x14ac:dyDescent="0.2">
      <c r="A636" t="s">
        <v>126</v>
      </c>
      <c r="B636" t="s">
        <v>14</v>
      </c>
      <c r="C636" t="s">
        <v>41</v>
      </c>
      <c r="D636" t="s">
        <v>16</v>
      </c>
      <c r="E636" t="str">
        <f>TRIM(RIGHT(Table1[[#This Row],[Location]],LEN(Table1[[#This Row],[Location]])-FIND(",",Table1[[#This Row],[Location]])))</f>
        <v>California</v>
      </c>
      <c r="F636" t="s">
        <v>114</v>
      </c>
      <c r="G636" t="s">
        <v>18</v>
      </c>
      <c r="H636" t="s">
        <v>26</v>
      </c>
      <c r="I636">
        <v>130796</v>
      </c>
      <c r="J636">
        <v>300</v>
      </c>
      <c r="K636">
        <v>109118</v>
      </c>
      <c r="L636">
        <v>122937</v>
      </c>
      <c r="M636">
        <v>6</v>
      </c>
      <c r="N636">
        <v>2196.6612319999999</v>
      </c>
      <c r="O636" s="7">
        <f>IFERROR(Table1[[#This Row],[Clicks]]/Table1[[#This Row],[Impressions]],0)</f>
        <v>2.2936481237958348E-3</v>
      </c>
      <c r="P636" s="5">
        <f>IFERROR(Table1[[#This Row],[Total Conversions]]/Table1[[#This Row],[Clicks]],0)</f>
        <v>0.02</v>
      </c>
      <c r="Q636" s="10">
        <f>IFERROR(Table1[[#This Row],[Gross Cost]]/Table1[[#This Row],[Total Conversions]],0)</f>
        <v>366.11020533333334</v>
      </c>
      <c r="R636" s="10">
        <f>IFERROR(Table1[[#This Row],[Gross Cost]]/(Table1[[#This Row],[Impressions]]/1000),0)</f>
        <v>16.794559711306157</v>
      </c>
      <c r="S636" s="5">
        <f>IFERROR(Table1[[#This Row],[Viewable Impressions]]/Table1[[#This Row],[Measurable Impressions]],0)</f>
        <v>0.88759283210099482</v>
      </c>
      <c r="T636" s="10">
        <f>IFERROR(1000*Table1[[#This Row],[Gross Cost]]/Table1[[#This Row],[Viewable Impressions]],0)</f>
        <v>20.131062079583568</v>
      </c>
      <c r="U636" s="10"/>
    </row>
    <row r="637" spans="1:21" x14ac:dyDescent="0.2">
      <c r="A637" t="s">
        <v>617</v>
      </c>
      <c r="B637" t="s">
        <v>21</v>
      </c>
      <c r="C637" t="s">
        <v>22</v>
      </c>
      <c r="D637" t="s">
        <v>38</v>
      </c>
      <c r="E637" t="str">
        <f>TRIM(RIGHT(Table1[[#This Row],[Location]],LEN(Table1[[#This Row],[Location]])-FIND(",",Table1[[#This Row],[Location]])))</f>
        <v>Tennessee</v>
      </c>
      <c r="F637" t="s">
        <v>611</v>
      </c>
      <c r="G637" t="s">
        <v>25</v>
      </c>
      <c r="H637" t="s">
        <v>26</v>
      </c>
      <c r="I637">
        <v>458931</v>
      </c>
      <c r="J637">
        <v>974</v>
      </c>
      <c r="K637">
        <v>264325</v>
      </c>
      <c r="L637">
        <v>378011</v>
      </c>
      <c r="M637">
        <v>30</v>
      </c>
      <c r="N637">
        <v>7462.6779349999997</v>
      </c>
      <c r="O637" s="7">
        <f>IFERROR(Table1[[#This Row],[Clicks]]/Table1[[#This Row],[Impressions]],0)</f>
        <v>2.1223233993781202E-3</v>
      </c>
      <c r="P637" s="5">
        <f>IFERROR(Table1[[#This Row],[Total Conversions]]/Table1[[#This Row],[Clicks]],0)</f>
        <v>3.0800821355236138E-2</v>
      </c>
      <c r="Q637" s="10">
        <f>IFERROR(Table1[[#This Row],[Gross Cost]]/Table1[[#This Row],[Total Conversions]],0)</f>
        <v>248.75593116666667</v>
      </c>
      <c r="R637" s="10">
        <f>IFERROR(Table1[[#This Row],[Gross Cost]]/(Table1[[#This Row],[Impressions]]/1000),0)</f>
        <v>16.261002056954094</v>
      </c>
      <c r="S637" s="5">
        <f>IFERROR(Table1[[#This Row],[Viewable Impressions]]/Table1[[#This Row],[Measurable Impressions]],0)</f>
        <v>0.69925213816529153</v>
      </c>
      <c r="T637" s="10">
        <f>IFERROR(1000*Table1[[#This Row],[Gross Cost]]/Table1[[#This Row],[Viewable Impressions]],0)</f>
        <v>28.232962962262366</v>
      </c>
      <c r="U637" s="10"/>
    </row>
    <row r="638" spans="1:21" x14ac:dyDescent="0.2">
      <c r="A638" t="s">
        <v>536</v>
      </c>
      <c r="B638" t="s">
        <v>21</v>
      </c>
      <c r="C638" t="s">
        <v>22</v>
      </c>
      <c r="D638" t="s">
        <v>23</v>
      </c>
      <c r="E638" t="str">
        <f>TRIM(RIGHT(Table1[[#This Row],[Location]],LEN(Table1[[#This Row],[Location]])-FIND(",",Table1[[#This Row],[Location]])))</f>
        <v>Florida</v>
      </c>
      <c r="F638" t="s">
        <v>517</v>
      </c>
      <c r="G638" t="s">
        <v>35</v>
      </c>
      <c r="H638" t="s">
        <v>26</v>
      </c>
      <c r="I638">
        <v>88819</v>
      </c>
      <c r="J638">
        <v>200</v>
      </c>
      <c r="K638">
        <v>65488</v>
      </c>
      <c r="L638">
        <v>80451</v>
      </c>
      <c r="M638">
        <v>6</v>
      </c>
      <c r="N638">
        <v>1442.2279900000001</v>
      </c>
      <c r="O638" s="7">
        <f>IFERROR(Table1[[#This Row],[Clicks]]/Table1[[#This Row],[Impressions]],0)</f>
        <v>2.2517704545198663E-3</v>
      </c>
      <c r="P638" s="5">
        <f>IFERROR(Table1[[#This Row],[Total Conversions]]/Table1[[#This Row],[Clicks]],0)</f>
        <v>0.03</v>
      </c>
      <c r="Q638" s="10">
        <f>IFERROR(Table1[[#This Row],[Gross Cost]]/Table1[[#This Row],[Total Conversions]],0)</f>
        <v>240.37133166666669</v>
      </c>
      <c r="R638" s="10">
        <f>IFERROR(Table1[[#This Row],[Gross Cost]]/(Table1[[#This Row],[Impressions]]/1000),0)</f>
        <v>16.237831882817865</v>
      </c>
      <c r="S638" s="5">
        <f>IFERROR(Table1[[#This Row],[Viewable Impressions]]/Table1[[#This Row],[Measurable Impressions]],0)</f>
        <v>0.81401101291469347</v>
      </c>
      <c r="T638" s="10">
        <f>IFERROR(1000*Table1[[#This Row],[Gross Cost]]/Table1[[#This Row],[Viewable Impressions]],0)</f>
        <v>22.02278264720254</v>
      </c>
      <c r="U638" s="10"/>
    </row>
    <row r="639" spans="1:21" x14ac:dyDescent="0.2">
      <c r="A639" t="s">
        <v>994</v>
      </c>
      <c r="B639" t="s">
        <v>21</v>
      </c>
      <c r="C639" t="s">
        <v>15</v>
      </c>
      <c r="D639" t="s">
        <v>34</v>
      </c>
      <c r="E639" t="str">
        <f>TRIM(RIGHT(Table1[[#This Row],[Location]],LEN(Table1[[#This Row],[Location]])-FIND(",",Table1[[#This Row],[Location]])))</f>
        <v>Illinois</v>
      </c>
      <c r="F639" t="s">
        <v>991</v>
      </c>
      <c r="G639" t="s">
        <v>32</v>
      </c>
      <c r="H639" t="s">
        <v>26</v>
      </c>
      <c r="I639">
        <v>446774</v>
      </c>
      <c r="J639">
        <v>1245</v>
      </c>
      <c r="K639">
        <v>163786</v>
      </c>
      <c r="L639">
        <v>374116</v>
      </c>
      <c r="M639">
        <v>12</v>
      </c>
      <c r="N639">
        <v>7248.2316119999996</v>
      </c>
      <c r="O639" s="7">
        <f>IFERROR(Table1[[#This Row],[Clicks]]/Table1[[#This Row],[Impressions]],0)</f>
        <v>2.7866438064882916E-3</v>
      </c>
      <c r="P639" s="5">
        <f>IFERROR(Table1[[#This Row],[Total Conversions]]/Table1[[#This Row],[Clicks]],0)</f>
        <v>9.6385542168674707E-3</v>
      </c>
      <c r="Q639" s="10">
        <f>IFERROR(Table1[[#This Row],[Gross Cost]]/Table1[[#This Row],[Total Conversions]],0)</f>
        <v>604.01930099999993</v>
      </c>
      <c r="R639" s="10">
        <f>IFERROR(Table1[[#This Row],[Gross Cost]]/(Table1[[#This Row],[Impressions]]/1000),0)</f>
        <v>16.223485726564213</v>
      </c>
      <c r="S639" s="5">
        <f>IFERROR(Table1[[#This Row],[Viewable Impressions]]/Table1[[#This Row],[Measurable Impressions]],0)</f>
        <v>0.43779469469362442</v>
      </c>
      <c r="T639" s="10">
        <f>IFERROR(1000*Table1[[#This Row],[Gross Cost]]/Table1[[#This Row],[Viewable Impressions]],0)</f>
        <v>44.254280658908577</v>
      </c>
      <c r="U639" s="10"/>
    </row>
    <row r="640" spans="1:21" x14ac:dyDescent="0.2">
      <c r="A640" t="s">
        <v>212</v>
      </c>
      <c r="B640" t="s">
        <v>14</v>
      </c>
      <c r="C640" t="s">
        <v>41</v>
      </c>
      <c r="D640" t="s">
        <v>213</v>
      </c>
      <c r="E640" t="str">
        <f>TRIM(RIGHT(Table1[[#This Row],[Location]],LEN(Table1[[#This Row],[Location]])-FIND(",",Table1[[#This Row],[Location]])))</f>
        <v>South Carolina</v>
      </c>
      <c r="F640" t="s">
        <v>210</v>
      </c>
      <c r="G640" t="s">
        <v>35</v>
      </c>
      <c r="H640" t="s">
        <v>19</v>
      </c>
      <c r="I640">
        <v>94340</v>
      </c>
      <c r="J640">
        <v>250</v>
      </c>
      <c r="K640">
        <v>16955</v>
      </c>
      <c r="L640">
        <v>76971</v>
      </c>
      <c r="M640">
        <v>13</v>
      </c>
      <c r="N640">
        <v>1517.244377</v>
      </c>
      <c r="O640" s="7">
        <f>IFERROR(Table1[[#This Row],[Clicks]]/Table1[[#This Row],[Impressions]],0)</f>
        <v>2.6499894000424E-3</v>
      </c>
      <c r="P640" s="5">
        <f>IFERROR(Table1[[#This Row],[Total Conversions]]/Table1[[#This Row],[Clicks]],0)</f>
        <v>5.1999999999999998E-2</v>
      </c>
      <c r="Q640" s="10">
        <f>IFERROR(Table1[[#This Row],[Gross Cost]]/Table1[[#This Row],[Total Conversions]],0)</f>
        <v>116.71110592307693</v>
      </c>
      <c r="R640" s="10">
        <f>IFERROR(Table1[[#This Row],[Gross Cost]]/(Table1[[#This Row],[Impressions]]/1000),0)</f>
        <v>16.082726065295738</v>
      </c>
      <c r="S640" s="5">
        <f>IFERROR(Table1[[#This Row],[Viewable Impressions]]/Table1[[#This Row],[Measurable Impressions]],0)</f>
        <v>0.22027776695118942</v>
      </c>
      <c r="T640" s="10">
        <f>IFERROR(1000*Table1[[#This Row],[Gross Cost]]/Table1[[#This Row],[Viewable Impressions]],0)</f>
        <v>89.486545384842231</v>
      </c>
      <c r="U640" s="10"/>
    </row>
    <row r="641" spans="1:21" x14ac:dyDescent="0.2">
      <c r="A641" t="s">
        <v>396</v>
      </c>
      <c r="B641" t="s">
        <v>21</v>
      </c>
      <c r="C641" t="s">
        <v>30</v>
      </c>
      <c r="D641" t="s">
        <v>397</v>
      </c>
      <c r="E641" t="str">
        <f>TRIM(RIGHT(Table1[[#This Row],[Location]],LEN(Table1[[#This Row],[Location]])-FIND(",",Table1[[#This Row],[Location]])))</f>
        <v>Indiana</v>
      </c>
      <c r="F641" t="s">
        <v>389</v>
      </c>
      <c r="G641" t="s">
        <v>18</v>
      </c>
      <c r="H641" t="s">
        <v>26</v>
      </c>
      <c r="I641">
        <v>111884</v>
      </c>
      <c r="J641">
        <v>220</v>
      </c>
      <c r="K641">
        <v>53017</v>
      </c>
      <c r="L641">
        <v>106432</v>
      </c>
      <c r="M641">
        <v>7</v>
      </c>
      <c r="N641">
        <v>1786.1051219999999</v>
      </c>
      <c r="O641" s="7">
        <f>IFERROR(Table1[[#This Row],[Clicks]]/Table1[[#This Row],[Impressions]],0)</f>
        <v>1.9663222623431411E-3</v>
      </c>
      <c r="P641" s="5">
        <f>IFERROR(Table1[[#This Row],[Total Conversions]]/Table1[[#This Row],[Clicks]],0)</f>
        <v>3.1818181818181815E-2</v>
      </c>
      <c r="Q641" s="10">
        <f>IFERROR(Table1[[#This Row],[Gross Cost]]/Table1[[#This Row],[Total Conversions]],0)</f>
        <v>255.15787457142855</v>
      </c>
      <c r="R641" s="10">
        <f>IFERROR(Table1[[#This Row],[Gross Cost]]/(Table1[[#This Row],[Impressions]]/1000),0)</f>
        <v>15.963901201244145</v>
      </c>
      <c r="S641" s="5">
        <f>IFERROR(Table1[[#This Row],[Viewable Impressions]]/Table1[[#This Row],[Measurable Impressions]],0)</f>
        <v>0.49813026157546603</v>
      </c>
      <c r="T641" s="10">
        <f>IFERROR(1000*Table1[[#This Row],[Gross Cost]]/Table1[[#This Row],[Viewable Impressions]],0)</f>
        <v>33.689290642624066</v>
      </c>
      <c r="U641" s="10"/>
    </row>
    <row r="642" spans="1:21" x14ac:dyDescent="0.2">
      <c r="A642" t="s">
        <v>637</v>
      </c>
      <c r="B642" t="s">
        <v>14</v>
      </c>
      <c r="C642" t="s">
        <v>15</v>
      </c>
      <c r="D642" t="s">
        <v>34</v>
      </c>
      <c r="E642" t="str">
        <f>TRIM(RIGHT(Table1[[#This Row],[Location]],LEN(Table1[[#This Row],[Location]])-FIND(",",Table1[[#This Row],[Location]])))</f>
        <v>Illinois</v>
      </c>
      <c r="F642" t="s">
        <v>611</v>
      </c>
      <c r="G642" t="s">
        <v>45</v>
      </c>
      <c r="H642" t="s">
        <v>19</v>
      </c>
      <c r="I642">
        <v>96031</v>
      </c>
      <c r="J642">
        <v>311</v>
      </c>
      <c r="K642">
        <v>57187</v>
      </c>
      <c r="L642">
        <v>78396</v>
      </c>
      <c r="M642">
        <v>21</v>
      </c>
      <c r="N642">
        <v>1508.9076700000001</v>
      </c>
      <c r="O642" s="7">
        <f>IFERROR(Table1[[#This Row],[Clicks]]/Table1[[#This Row],[Impressions]],0)</f>
        <v>3.2385375555810101E-3</v>
      </c>
      <c r="P642" s="5">
        <f>IFERROR(Table1[[#This Row],[Total Conversions]]/Table1[[#This Row],[Clicks]],0)</f>
        <v>6.7524115755627015E-2</v>
      </c>
      <c r="Q642" s="10">
        <f>IFERROR(Table1[[#This Row],[Gross Cost]]/Table1[[#This Row],[Total Conversions]],0)</f>
        <v>71.852746190476196</v>
      </c>
      <c r="R642" s="10">
        <f>IFERROR(Table1[[#This Row],[Gross Cost]]/(Table1[[#This Row],[Impressions]]/1000),0)</f>
        <v>15.712714331830346</v>
      </c>
      <c r="S642" s="5">
        <f>IFERROR(Table1[[#This Row],[Viewable Impressions]]/Table1[[#This Row],[Measurable Impressions]],0)</f>
        <v>0.7294632379203021</v>
      </c>
      <c r="T642" s="10">
        <f>IFERROR(1000*Table1[[#This Row],[Gross Cost]]/Table1[[#This Row],[Viewable Impressions]],0)</f>
        <v>26.385501425149076</v>
      </c>
      <c r="U642" s="10"/>
    </row>
    <row r="643" spans="1:21" x14ac:dyDescent="0.2">
      <c r="A643" t="s">
        <v>908</v>
      </c>
      <c r="B643" t="s">
        <v>60</v>
      </c>
      <c r="C643" t="s">
        <v>22</v>
      </c>
      <c r="D643" t="s">
        <v>34</v>
      </c>
      <c r="E643" t="str">
        <f>TRIM(RIGHT(Table1[[#This Row],[Location]],LEN(Table1[[#This Row],[Location]])-FIND(",",Table1[[#This Row],[Location]])))</f>
        <v>Illinois</v>
      </c>
      <c r="F643" t="s">
        <v>909</v>
      </c>
      <c r="G643" t="s">
        <v>18</v>
      </c>
      <c r="H643" t="s">
        <v>26</v>
      </c>
      <c r="I643" s="1">
        <v>446774</v>
      </c>
      <c r="J643">
        <v>951</v>
      </c>
      <c r="K643" s="1">
        <v>196581</v>
      </c>
      <c r="L643" s="1">
        <v>379758</v>
      </c>
      <c r="M643">
        <v>33</v>
      </c>
      <c r="N643">
        <v>6956.6273659999997</v>
      </c>
      <c r="O643" s="7">
        <f>IFERROR(Table1[[#This Row],[Clicks]]/Table1[[#This Row],[Impressions]],0)</f>
        <v>2.1285929798958757E-3</v>
      </c>
      <c r="P643" s="5">
        <f>IFERROR(Table1[[#This Row],[Total Conversions]]/Table1[[#This Row],[Clicks]],0)</f>
        <v>3.4700315457413249E-2</v>
      </c>
      <c r="Q643" s="10">
        <f>IFERROR(Table1[[#This Row],[Gross Cost]]/Table1[[#This Row],[Total Conversions]],0)</f>
        <v>210.80688987878787</v>
      </c>
      <c r="R643" s="10">
        <f>IFERROR(Table1[[#This Row],[Gross Cost]]/(Table1[[#This Row],[Impressions]]/1000),0)</f>
        <v>15.570797239767757</v>
      </c>
      <c r="S643" s="5">
        <f>IFERROR(Table1[[#This Row],[Viewable Impressions]]/Table1[[#This Row],[Measurable Impressions]],0)</f>
        <v>0.51764808114641425</v>
      </c>
      <c r="T643" s="10">
        <f>IFERROR(1000*Table1[[#This Row],[Gross Cost]]/Table1[[#This Row],[Viewable Impressions]],0)</f>
        <v>35.388096336878945</v>
      </c>
      <c r="U643" s="10"/>
    </row>
    <row r="644" spans="1:21" x14ac:dyDescent="0.2">
      <c r="A644" t="s">
        <v>373</v>
      </c>
      <c r="B644" t="s">
        <v>14</v>
      </c>
      <c r="C644" t="s">
        <v>15</v>
      </c>
      <c r="D644" t="s">
        <v>34</v>
      </c>
      <c r="E644" t="str">
        <f>TRIM(RIGHT(Table1[[#This Row],[Location]],LEN(Table1[[#This Row],[Location]])-FIND(",",Table1[[#This Row],[Location]])))</f>
        <v>Illinois</v>
      </c>
      <c r="F644" t="s">
        <v>364</v>
      </c>
      <c r="G644" t="s">
        <v>25</v>
      </c>
      <c r="H644" t="s">
        <v>26</v>
      </c>
      <c r="I644">
        <v>109567</v>
      </c>
      <c r="J644">
        <v>345</v>
      </c>
      <c r="K644">
        <v>57620</v>
      </c>
      <c r="L644">
        <v>97903</v>
      </c>
      <c r="M644">
        <v>5</v>
      </c>
      <c r="N644">
        <v>1616.7147219999999</v>
      </c>
      <c r="O644" s="7">
        <f>IFERROR(Table1[[#This Row],[Clicks]]/Table1[[#This Row],[Impressions]],0)</f>
        <v>3.1487582940118832E-3</v>
      </c>
      <c r="P644" s="5">
        <f>IFERROR(Table1[[#This Row],[Total Conversions]]/Table1[[#This Row],[Clicks]],0)</f>
        <v>1.4492753623188406E-2</v>
      </c>
      <c r="Q644" s="10">
        <f>IFERROR(Table1[[#This Row],[Gross Cost]]/Table1[[#This Row],[Total Conversions]],0)</f>
        <v>323.34294439999996</v>
      </c>
      <c r="R644" s="10">
        <f>IFERROR(Table1[[#This Row],[Gross Cost]]/(Table1[[#This Row],[Impressions]]/1000),0)</f>
        <v>14.755489536082946</v>
      </c>
      <c r="S644" s="5">
        <f>IFERROR(Table1[[#This Row],[Viewable Impressions]]/Table1[[#This Row],[Measurable Impressions]],0)</f>
        <v>0.58854171986558124</v>
      </c>
      <c r="T644" s="10">
        <f>IFERROR(1000*Table1[[#This Row],[Gross Cost]]/Table1[[#This Row],[Viewable Impressions]],0)</f>
        <v>28.058221485595276</v>
      </c>
      <c r="U644" s="10"/>
    </row>
    <row r="645" spans="1:21" x14ac:dyDescent="0.2">
      <c r="A645" t="s">
        <v>663</v>
      </c>
      <c r="B645" t="s">
        <v>14</v>
      </c>
      <c r="C645" t="s">
        <v>30</v>
      </c>
      <c r="D645" t="s">
        <v>16</v>
      </c>
      <c r="E645" t="str">
        <f>TRIM(RIGHT(Table1[[#This Row],[Location]],LEN(Table1[[#This Row],[Location]])-FIND(",",Table1[[#This Row],[Location]])))</f>
        <v>California</v>
      </c>
      <c r="F645" t="s">
        <v>660</v>
      </c>
      <c r="G645" t="s">
        <v>18</v>
      </c>
      <c r="H645" t="s">
        <v>26</v>
      </c>
      <c r="I645">
        <v>183208</v>
      </c>
      <c r="J645">
        <v>620</v>
      </c>
      <c r="K645">
        <v>131164</v>
      </c>
      <c r="L645">
        <v>177952</v>
      </c>
      <c r="M645">
        <v>43</v>
      </c>
      <c r="N645">
        <v>2682.4366230000001</v>
      </c>
      <c r="O645" s="7">
        <f>IFERROR(Table1[[#This Row],[Clicks]]/Table1[[#This Row],[Impressions]],0)</f>
        <v>3.3841316973057946E-3</v>
      </c>
      <c r="P645" s="5">
        <f>IFERROR(Table1[[#This Row],[Total Conversions]]/Table1[[#This Row],[Clicks]],0)</f>
        <v>6.9354838709677416E-2</v>
      </c>
      <c r="Q645" s="10">
        <f>IFERROR(Table1[[#This Row],[Gross Cost]]/Table1[[#This Row],[Total Conversions]],0)</f>
        <v>62.38224704651163</v>
      </c>
      <c r="R645" s="10">
        <f>IFERROR(Table1[[#This Row],[Gross Cost]]/(Table1[[#This Row],[Impressions]]/1000),0)</f>
        <v>14.641481938561636</v>
      </c>
      <c r="S645" s="5">
        <f>IFERROR(Table1[[#This Row],[Viewable Impressions]]/Table1[[#This Row],[Measurable Impressions]],0)</f>
        <v>0.73707516633698977</v>
      </c>
      <c r="T645" s="10">
        <f>IFERROR(1000*Table1[[#This Row],[Gross Cost]]/Table1[[#This Row],[Viewable Impressions]],0)</f>
        <v>20.451012648287641</v>
      </c>
      <c r="U645" s="10"/>
    </row>
    <row r="646" spans="1:21" x14ac:dyDescent="0.2">
      <c r="A646" t="s">
        <v>305</v>
      </c>
      <c r="B646" t="s">
        <v>21</v>
      </c>
      <c r="C646" t="s">
        <v>30</v>
      </c>
      <c r="D646" t="s">
        <v>16</v>
      </c>
      <c r="E646" t="str">
        <f>TRIM(RIGHT(Table1[[#This Row],[Location]],LEN(Table1[[#This Row],[Location]])-FIND(",",Table1[[#This Row],[Location]])))</f>
        <v>California</v>
      </c>
      <c r="F646" t="s">
        <v>296</v>
      </c>
      <c r="G646" t="s">
        <v>18</v>
      </c>
      <c r="H646" t="s">
        <v>26</v>
      </c>
      <c r="I646">
        <v>405957</v>
      </c>
      <c r="J646">
        <v>874</v>
      </c>
      <c r="K646">
        <v>204189</v>
      </c>
      <c r="L646">
        <v>385654</v>
      </c>
      <c r="M646">
        <v>16</v>
      </c>
      <c r="N646">
        <v>5864.1264929999998</v>
      </c>
      <c r="O646" s="7">
        <f>IFERROR(Table1[[#This Row],[Clicks]]/Table1[[#This Row],[Impressions]],0)</f>
        <v>2.1529373800673471E-3</v>
      </c>
      <c r="P646" s="5">
        <f>IFERROR(Table1[[#This Row],[Total Conversions]]/Table1[[#This Row],[Clicks]],0)</f>
        <v>1.8306636155606407E-2</v>
      </c>
      <c r="Q646" s="10">
        <f>IFERROR(Table1[[#This Row],[Gross Cost]]/Table1[[#This Row],[Total Conversions]],0)</f>
        <v>366.50790581249998</v>
      </c>
      <c r="R646" s="10">
        <f>IFERROR(Table1[[#This Row],[Gross Cost]]/(Table1[[#This Row],[Impressions]]/1000),0)</f>
        <v>14.445191222223043</v>
      </c>
      <c r="S646" s="5">
        <f>IFERROR(Table1[[#This Row],[Viewable Impressions]]/Table1[[#This Row],[Measurable Impressions]],0)</f>
        <v>0.52946164178253041</v>
      </c>
      <c r="T646" s="10">
        <f>IFERROR(1000*Table1[[#This Row],[Gross Cost]]/Table1[[#This Row],[Viewable Impressions]],0)</f>
        <v>28.719110691565167</v>
      </c>
      <c r="U646" s="10"/>
    </row>
    <row r="647" spans="1:21" x14ac:dyDescent="0.2">
      <c r="A647" t="s">
        <v>528</v>
      </c>
      <c r="B647" t="s">
        <v>14</v>
      </c>
      <c r="C647" t="s">
        <v>15</v>
      </c>
      <c r="D647" t="s">
        <v>16</v>
      </c>
      <c r="E647" t="str">
        <f>TRIM(RIGHT(Table1[[#This Row],[Location]],LEN(Table1[[#This Row],[Location]])-FIND(",",Table1[[#This Row],[Location]])))</f>
        <v>California</v>
      </c>
      <c r="F647" t="s">
        <v>517</v>
      </c>
      <c r="G647" t="s">
        <v>45</v>
      </c>
      <c r="H647" t="s">
        <v>26</v>
      </c>
      <c r="I647">
        <v>136733</v>
      </c>
      <c r="J647">
        <v>110</v>
      </c>
      <c r="K647">
        <v>102728</v>
      </c>
      <c r="L647">
        <v>127130</v>
      </c>
      <c r="M647">
        <v>4</v>
      </c>
      <c r="N647">
        <v>1946.0504470000001</v>
      </c>
      <c r="O647" s="7">
        <f>IFERROR(Table1[[#This Row],[Clicks]]/Table1[[#This Row],[Impressions]],0)</f>
        <v>8.0448757798044367E-4</v>
      </c>
      <c r="P647" s="5">
        <f>IFERROR(Table1[[#This Row],[Total Conversions]]/Table1[[#This Row],[Clicks]],0)</f>
        <v>3.6363636363636362E-2</v>
      </c>
      <c r="Q647" s="10">
        <f>IFERROR(Table1[[#This Row],[Gross Cost]]/Table1[[#This Row],[Total Conversions]],0)</f>
        <v>486.51261175000002</v>
      </c>
      <c r="R647" s="10">
        <f>IFERROR(Table1[[#This Row],[Gross Cost]]/(Table1[[#This Row],[Impressions]]/1000),0)</f>
        <v>14.232485552134452</v>
      </c>
      <c r="S647" s="5">
        <f>IFERROR(Table1[[#This Row],[Viewable Impressions]]/Table1[[#This Row],[Measurable Impressions]],0)</f>
        <v>0.80805474710925829</v>
      </c>
      <c r="T647" s="10">
        <f>IFERROR(1000*Table1[[#This Row],[Gross Cost]]/Table1[[#This Row],[Viewable Impressions]],0)</f>
        <v>18.94371979401916</v>
      </c>
      <c r="U647" s="10"/>
    </row>
    <row r="648" spans="1:21" x14ac:dyDescent="0.2">
      <c r="A648" t="s">
        <v>627</v>
      </c>
      <c r="B648" t="s">
        <v>14</v>
      </c>
      <c r="C648" t="s">
        <v>22</v>
      </c>
      <c r="D648" t="s">
        <v>28</v>
      </c>
      <c r="E648" t="str">
        <f>TRIM(RIGHT(Table1[[#This Row],[Location]],LEN(Table1[[#This Row],[Location]])-FIND(",",Table1[[#This Row],[Location]])))</f>
        <v>California</v>
      </c>
      <c r="F648" t="s">
        <v>611</v>
      </c>
      <c r="G648" t="s">
        <v>135</v>
      </c>
      <c r="H648" t="s">
        <v>26</v>
      </c>
      <c r="I648">
        <v>335461</v>
      </c>
      <c r="J648">
        <v>963</v>
      </c>
      <c r="K648">
        <v>171464</v>
      </c>
      <c r="L648">
        <v>247450</v>
      </c>
      <c r="M648">
        <v>5</v>
      </c>
      <c r="N648">
        <v>4445.8746289999999</v>
      </c>
      <c r="O648" s="7">
        <f>IFERROR(Table1[[#This Row],[Clicks]]/Table1[[#This Row],[Impressions]],0)</f>
        <v>2.8706764720787216E-3</v>
      </c>
      <c r="P648" s="5">
        <f>IFERROR(Table1[[#This Row],[Total Conversions]]/Table1[[#This Row],[Clicks]],0)</f>
        <v>5.1921079958463139E-3</v>
      </c>
      <c r="Q648" s="10">
        <f>IFERROR(Table1[[#This Row],[Gross Cost]]/Table1[[#This Row],[Total Conversions]],0)</f>
        <v>889.17492579999998</v>
      </c>
      <c r="R648" s="10">
        <f>IFERROR(Table1[[#This Row],[Gross Cost]]/(Table1[[#This Row],[Impressions]]/1000),0)</f>
        <v>13.253029797800638</v>
      </c>
      <c r="S648" s="5">
        <f>IFERROR(Table1[[#This Row],[Viewable Impressions]]/Table1[[#This Row],[Measurable Impressions]],0)</f>
        <v>0.69292382299454436</v>
      </c>
      <c r="T648" s="10">
        <f>IFERROR(1000*Table1[[#This Row],[Gross Cost]]/Table1[[#This Row],[Viewable Impressions]],0)</f>
        <v>25.928910027760928</v>
      </c>
      <c r="U648" s="10"/>
    </row>
    <row r="649" spans="1:21" x14ac:dyDescent="0.2">
      <c r="A649" t="s">
        <v>300</v>
      </c>
      <c r="B649" t="s">
        <v>14</v>
      </c>
      <c r="C649" t="s">
        <v>41</v>
      </c>
      <c r="D649" t="s">
        <v>38</v>
      </c>
      <c r="E649" t="str">
        <f>TRIM(RIGHT(Table1[[#This Row],[Location]],LEN(Table1[[#This Row],[Location]])-FIND(",",Table1[[#This Row],[Location]])))</f>
        <v>Tennessee</v>
      </c>
      <c r="F649" t="s">
        <v>296</v>
      </c>
      <c r="G649" t="s">
        <v>32</v>
      </c>
      <c r="H649" t="s">
        <v>26</v>
      </c>
      <c r="I649">
        <v>569171</v>
      </c>
      <c r="J649">
        <v>1354</v>
      </c>
      <c r="K649">
        <v>343050</v>
      </c>
      <c r="L649">
        <v>541133</v>
      </c>
      <c r="M649">
        <v>78</v>
      </c>
      <c r="N649">
        <v>7129.6332869999997</v>
      </c>
      <c r="O649" s="7">
        <f>IFERROR(Table1[[#This Row],[Clicks]]/Table1[[#This Row],[Impressions]],0)</f>
        <v>2.3788984329841121E-3</v>
      </c>
      <c r="P649" s="5">
        <f>IFERROR(Table1[[#This Row],[Total Conversions]]/Table1[[#This Row],[Clicks]],0)</f>
        <v>5.7607090103397339E-2</v>
      </c>
      <c r="Q649" s="10">
        <f>IFERROR(Table1[[#This Row],[Gross Cost]]/Table1[[#This Row],[Total Conversions]],0)</f>
        <v>91.405554961538456</v>
      </c>
      <c r="R649" s="10">
        <f>IFERROR(Table1[[#This Row],[Gross Cost]]/(Table1[[#This Row],[Impressions]]/1000),0)</f>
        <v>12.52634671654037</v>
      </c>
      <c r="S649" s="5">
        <f>IFERROR(Table1[[#This Row],[Viewable Impressions]]/Table1[[#This Row],[Measurable Impressions]],0)</f>
        <v>0.63394766166543159</v>
      </c>
      <c r="T649" s="10">
        <f>IFERROR(1000*Table1[[#This Row],[Gross Cost]]/Table1[[#This Row],[Viewable Impressions]],0)</f>
        <v>20.783073275032791</v>
      </c>
      <c r="U649" s="10"/>
    </row>
    <row r="650" spans="1:21" x14ac:dyDescent="0.2">
      <c r="A650" t="s">
        <v>939</v>
      </c>
      <c r="B650" t="s">
        <v>21</v>
      </c>
      <c r="C650" t="s">
        <v>22</v>
      </c>
      <c r="D650" t="s">
        <v>149</v>
      </c>
      <c r="E650" t="str">
        <f>TRIM(RIGHT(Table1[[#This Row],[Location]],LEN(Table1[[#This Row],[Location]])-FIND(",",Table1[[#This Row],[Location]])))</f>
        <v>Indiana</v>
      </c>
      <c r="F650" t="s">
        <v>918</v>
      </c>
      <c r="G650" t="s">
        <v>25</v>
      </c>
      <c r="H650" t="s">
        <v>26</v>
      </c>
      <c r="I650">
        <v>239164</v>
      </c>
      <c r="J650">
        <v>699</v>
      </c>
      <c r="K650">
        <v>86250</v>
      </c>
      <c r="L650">
        <v>198209</v>
      </c>
      <c r="M650">
        <v>41</v>
      </c>
      <c r="N650">
        <v>2819.935266</v>
      </c>
      <c r="O650" s="7">
        <f>IFERROR(Table1[[#This Row],[Clicks]]/Table1[[#This Row],[Impressions]],0)</f>
        <v>2.9226806710039971E-3</v>
      </c>
      <c r="P650" s="5">
        <f>IFERROR(Table1[[#This Row],[Total Conversions]]/Table1[[#This Row],[Clicks]],0)</f>
        <v>5.8655221745350504E-2</v>
      </c>
      <c r="Q650" s="10">
        <f>IFERROR(Table1[[#This Row],[Gross Cost]]/Table1[[#This Row],[Total Conversions]],0)</f>
        <v>68.778908926829274</v>
      </c>
      <c r="R650" s="10">
        <f>IFERROR(Table1[[#This Row],[Gross Cost]]/(Table1[[#This Row],[Impressions]]/1000),0)</f>
        <v>11.790801567125488</v>
      </c>
      <c r="S650" s="5">
        <f>IFERROR(Table1[[#This Row],[Viewable Impressions]]/Table1[[#This Row],[Measurable Impressions]],0)</f>
        <v>0.43514673904817641</v>
      </c>
      <c r="T650" s="10">
        <f>IFERROR(1000*Table1[[#This Row],[Gross Cost]]/Table1[[#This Row],[Viewable Impressions]],0)</f>
        <v>32.69490163478261</v>
      </c>
      <c r="U650" s="10"/>
    </row>
    <row r="651" spans="1:21" x14ac:dyDescent="0.2">
      <c r="A651" t="s">
        <v>324</v>
      </c>
      <c r="B651" t="s">
        <v>21</v>
      </c>
      <c r="C651" t="s">
        <v>30</v>
      </c>
      <c r="D651" t="s">
        <v>34</v>
      </c>
      <c r="E651" t="str">
        <f>TRIM(RIGHT(Table1[[#This Row],[Location]],LEN(Table1[[#This Row],[Location]])-FIND(",",Table1[[#This Row],[Location]])))</f>
        <v>Illinois</v>
      </c>
      <c r="F651" t="s">
        <v>296</v>
      </c>
      <c r="G651" t="s">
        <v>18</v>
      </c>
      <c r="H651" t="s">
        <v>26</v>
      </c>
      <c r="I651">
        <v>126337</v>
      </c>
      <c r="J651">
        <v>325</v>
      </c>
      <c r="K651">
        <v>51394</v>
      </c>
      <c r="L651">
        <v>117635</v>
      </c>
      <c r="M651">
        <v>5</v>
      </c>
      <c r="N651">
        <v>1487.0882879999999</v>
      </c>
      <c r="O651" s="7">
        <f>IFERROR(Table1[[#This Row],[Clicks]]/Table1[[#This Row],[Impressions]],0)</f>
        <v>2.5724847036101856E-3</v>
      </c>
      <c r="P651" s="5">
        <f>IFERROR(Table1[[#This Row],[Total Conversions]]/Table1[[#This Row],[Clicks]],0)</f>
        <v>1.5384615384615385E-2</v>
      </c>
      <c r="Q651" s="10">
        <f>IFERROR(Table1[[#This Row],[Gross Cost]]/Table1[[#This Row],[Total Conversions]],0)</f>
        <v>297.41765759999998</v>
      </c>
      <c r="R651" s="10">
        <f>IFERROR(Table1[[#This Row],[Gross Cost]]/(Table1[[#This Row],[Impressions]]/1000),0)</f>
        <v>11.77080576553187</v>
      </c>
      <c r="S651" s="5">
        <f>IFERROR(Table1[[#This Row],[Viewable Impressions]]/Table1[[#This Row],[Measurable Impressions]],0)</f>
        <v>0.43689378161261527</v>
      </c>
      <c r="T651" s="10">
        <f>IFERROR(1000*Table1[[#This Row],[Gross Cost]]/Table1[[#This Row],[Viewable Impressions]],0)</f>
        <v>28.935056387905203</v>
      </c>
      <c r="U651" s="10"/>
    </row>
    <row r="652" spans="1:21" x14ac:dyDescent="0.2">
      <c r="A652" t="s">
        <v>870</v>
      </c>
      <c r="B652" t="s">
        <v>14</v>
      </c>
      <c r="C652" t="s">
        <v>15</v>
      </c>
      <c r="D652" t="s">
        <v>28</v>
      </c>
      <c r="E652" t="str">
        <f>TRIM(RIGHT(Table1[[#This Row],[Location]],LEN(Table1[[#This Row],[Location]])-FIND(",",Table1[[#This Row],[Location]])))</f>
        <v>California</v>
      </c>
      <c r="F652" t="s">
        <v>864</v>
      </c>
      <c r="G652" t="s">
        <v>18</v>
      </c>
      <c r="H652" t="s">
        <v>26</v>
      </c>
      <c r="I652">
        <v>141157</v>
      </c>
      <c r="J652">
        <v>420</v>
      </c>
      <c r="K652">
        <v>8280</v>
      </c>
      <c r="L652">
        <v>107935</v>
      </c>
      <c r="M652">
        <v>4</v>
      </c>
      <c r="N652">
        <v>1631.7829489999999</v>
      </c>
      <c r="O652" s="7">
        <f>IFERROR(Table1[[#This Row],[Clicks]]/Table1[[#This Row],[Impressions]],0)</f>
        <v>2.9754103586786345E-3</v>
      </c>
      <c r="P652" s="5">
        <f>IFERROR(Table1[[#This Row],[Total Conversions]]/Table1[[#This Row],[Clicks]],0)</f>
        <v>9.5238095238095247E-3</v>
      </c>
      <c r="Q652" s="10">
        <f>IFERROR(Table1[[#This Row],[Gross Cost]]/Table1[[#This Row],[Total Conversions]],0)</f>
        <v>407.94573724999998</v>
      </c>
      <c r="R652" s="10">
        <f>IFERROR(Table1[[#This Row],[Gross Cost]]/(Table1[[#This Row],[Impressions]]/1000),0)</f>
        <v>11.560056879928021</v>
      </c>
      <c r="S652" s="5">
        <f>IFERROR(Table1[[#This Row],[Viewable Impressions]]/Table1[[#This Row],[Measurable Impressions]],0)</f>
        <v>7.6712836429332465E-2</v>
      </c>
      <c r="T652" s="10">
        <f>IFERROR(1000*Table1[[#This Row],[Gross Cost]]/Table1[[#This Row],[Viewable Impressions]],0)</f>
        <v>197.07523538647342</v>
      </c>
      <c r="U652" s="10"/>
    </row>
    <row r="653" spans="1:21" x14ac:dyDescent="0.2">
      <c r="A653" t="s">
        <v>1038</v>
      </c>
      <c r="B653" t="s">
        <v>60</v>
      </c>
      <c r="C653" t="s">
        <v>22</v>
      </c>
      <c r="D653" t="s">
        <v>130</v>
      </c>
      <c r="E653" t="str">
        <f>TRIM(RIGHT(Table1[[#This Row],[Location]],LEN(Table1[[#This Row],[Location]])-FIND(",",Table1[[#This Row],[Location]])))</f>
        <v>Michigan</v>
      </c>
      <c r="F653" t="s">
        <v>1031</v>
      </c>
      <c r="G653" t="s">
        <v>79</v>
      </c>
      <c r="H653" t="s">
        <v>26</v>
      </c>
      <c r="I653">
        <v>130602</v>
      </c>
      <c r="J653">
        <v>269</v>
      </c>
      <c r="K653">
        <v>11736</v>
      </c>
      <c r="L653">
        <v>113735</v>
      </c>
      <c r="M653">
        <v>4</v>
      </c>
      <c r="N653">
        <v>1507.8471199999999</v>
      </c>
      <c r="O653" s="7">
        <f>IFERROR(Table1[[#This Row],[Clicks]]/Table1[[#This Row],[Impressions]],0)</f>
        <v>2.0596928071545612E-3</v>
      </c>
      <c r="P653" s="5">
        <f>IFERROR(Table1[[#This Row],[Total Conversions]]/Table1[[#This Row],[Clicks]],0)</f>
        <v>1.4869888475836431E-2</v>
      </c>
      <c r="Q653" s="10">
        <f>IFERROR(Table1[[#This Row],[Gross Cost]]/Table1[[#This Row],[Total Conversions]],0)</f>
        <v>376.96177999999998</v>
      </c>
      <c r="R653" s="10">
        <f>IFERROR(Table1[[#This Row],[Gross Cost]]/(Table1[[#This Row],[Impressions]]/1000),0)</f>
        <v>11.545360101682975</v>
      </c>
      <c r="S653" s="5">
        <f>IFERROR(Table1[[#This Row],[Viewable Impressions]]/Table1[[#This Row],[Measurable Impressions]],0)</f>
        <v>0.10318723348133819</v>
      </c>
      <c r="T653" s="10">
        <f>IFERROR(1000*Table1[[#This Row],[Gross Cost]]/Table1[[#This Row],[Viewable Impressions]],0)</f>
        <v>128.48049761417857</v>
      </c>
      <c r="U653" s="10"/>
    </row>
    <row r="654" spans="1:21" x14ac:dyDescent="0.2">
      <c r="A654" t="s">
        <v>299</v>
      </c>
      <c r="B654" t="s">
        <v>21</v>
      </c>
      <c r="C654" t="s">
        <v>15</v>
      </c>
      <c r="D654" t="s">
        <v>54</v>
      </c>
      <c r="E654" t="str">
        <f>TRIM(RIGHT(Table1[[#This Row],[Location]],LEN(Table1[[#This Row],[Location]])-FIND(",",Table1[[#This Row],[Location]])))</f>
        <v>Florida</v>
      </c>
      <c r="F654" t="s">
        <v>296</v>
      </c>
      <c r="G654" t="s">
        <v>49</v>
      </c>
      <c r="H654" t="s">
        <v>26</v>
      </c>
      <c r="I654">
        <v>680912</v>
      </c>
      <c r="J654">
        <v>2000</v>
      </c>
      <c r="K654">
        <v>388915</v>
      </c>
      <c r="L654">
        <v>648524</v>
      </c>
      <c r="M654">
        <v>39</v>
      </c>
      <c r="N654">
        <v>7814.2624939999996</v>
      </c>
      <c r="O654" s="7">
        <f>IFERROR(Table1[[#This Row],[Clicks]]/Table1[[#This Row],[Impressions]],0)</f>
        <v>2.9372371172780038E-3</v>
      </c>
      <c r="P654" s="5">
        <f>IFERROR(Table1[[#This Row],[Total Conversions]]/Table1[[#This Row],[Clicks]],0)</f>
        <v>1.95E-2</v>
      </c>
      <c r="Q654" s="10">
        <f>IFERROR(Table1[[#This Row],[Gross Cost]]/Table1[[#This Row],[Total Conversions]],0)</f>
        <v>200.36570497435898</v>
      </c>
      <c r="R654" s="10">
        <f>IFERROR(Table1[[#This Row],[Gross Cost]]/(Table1[[#This Row],[Impressions]]/1000),0)</f>
        <v>11.476170920765091</v>
      </c>
      <c r="S654" s="5">
        <f>IFERROR(Table1[[#This Row],[Viewable Impressions]]/Table1[[#This Row],[Measurable Impressions]],0)</f>
        <v>0.59969253258167776</v>
      </c>
      <c r="T654" s="10">
        <f>IFERROR(1000*Table1[[#This Row],[Gross Cost]]/Table1[[#This Row],[Viewable Impressions]],0)</f>
        <v>20.092468775953613</v>
      </c>
      <c r="U654" s="10"/>
    </row>
    <row r="655" spans="1:21" x14ac:dyDescent="0.2">
      <c r="A655" t="s">
        <v>539</v>
      </c>
      <c r="B655" t="s">
        <v>14</v>
      </c>
      <c r="C655" t="s">
        <v>41</v>
      </c>
      <c r="D655" t="s">
        <v>34</v>
      </c>
      <c r="E655" t="str">
        <f>TRIM(RIGHT(Table1[[#This Row],[Location]],LEN(Table1[[#This Row],[Location]])-FIND(",",Table1[[#This Row],[Location]])))</f>
        <v>Illinois</v>
      </c>
      <c r="F655" t="s">
        <v>538</v>
      </c>
      <c r="G655" t="s">
        <v>45</v>
      </c>
      <c r="H655" t="s">
        <v>26</v>
      </c>
      <c r="I655">
        <v>728841</v>
      </c>
      <c r="J655">
        <v>2174</v>
      </c>
      <c r="K655">
        <v>424340</v>
      </c>
      <c r="L655">
        <v>634059</v>
      </c>
      <c r="M655">
        <v>37</v>
      </c>
      <c r="N655">
        <v>8054.1413679999996</v>
      </c>
      <c r="O655" s="7">
        <f>IFERROR(Table1[[#This Row],[Clicks]]/Table1[[#This Row],[Impressions]],0)</f>
        <v>2.9828179259948329E-3</v>
      </c>
      <c r="P655" s="5">
        <f>IFERROR(Table1[[#This Row],[Total Conversions]]/Table1[[#This Row],[Clicks]],0)</f>
        <v>1.7019319227230909E-2</v>
      </c>
      <c r="Q655" s="10">
        <f>IFERROR(Table1[[#This Row],[Gross Cost]]/Table1[[#This Row],[Total Conversions]],0)</f>
        <v>217.67949643243242</v>
      </c>
      <c r="R655" s="10">
        <f>IFERROR(Table1[[#This Row],[Gross Cost]]/(Table1[[#This Row],[Impressions]]/1000),0)</f>
        <v>11.050615110840361</v>
      </c>
      <c r="S655" s="5">
        <f>IFERROR(Table1[[#This Row],[Viewable Impressions]]/Table1[[#This Row],[Measurable Impressions]],0)</f>
        <v>0.66924371391305859</v>
      </c>
      <c r="T655" s="10">
        <f>IFERROR(1000*Table1[[#This Row],[Gross Cost]]/Table1[[#This Row],[Viewable Impressions]],0)</f>
        <v>18.980396304849883</v>
      </c>
      <c r="U655" s="10"/>
    </row>
    <row r="656" spans="1:21" x14ac:dyDescent="0.2">
      <c r="A656" t="s">
        <v>919</v>
      </c>
      <c r="B656" t="s">
        <v>21</v>
      </c>
      <c r="C656" t="s">
        <v>41</v>
      </c>
      <c r="D656" t="s">
        <v>28</v>
      </c>
      <c r="E656" t="str">
        <f>TRIM(RIGHT(Table1[[#This Row],[Location]],LEN(Table1[[#This Row],[Location]])-FIND(",",Table1[[#This Row],[Location]])))</f>
        <v>California</v>
      </c>
      <c r="F656" t="s">
        <v>918</v>
      </c>
      <c r="G656" t="s">
        <v>25</v>
      </c>
      <c r="H656" t="s">
        <v>26</v>
      </c>
      <c r="I656">
        <v>686858</v>
      </c>
      <c r="J656">
        <v>2085</v>
      </c>
      <c r="K656">
        <v>81956</v>
      </c>
      <c r="L656">
        <v>624118</v>
      </c>
      <c r="M656">
        <v>19</v>
      </c>
      <c r="N656">
        <v>7467.0814870000004</v>
      </c>
      <c r="O656" s="7">
        <f>IFERROR(Table1[[#This Row],[Clicks]]/Table1[[#This Row],[Impressions]],0)</f>
        <v>3.0355619356548223E-3</v>
      </c>
      <c r="P656" s="5">
        <f>IFERROR(Table1[[#This Row],[Total Conversions]]/Table1[[#This Row],[Clicks]],0)</f>
        <v>9.1127098321342921E-3</v>
      </c>
      <c r="Q656" s="10">
        <f>IFERROR(Table1[[#This Row],[Gross Cost]]/Table1[[#This Row],[Total Conversions]],0)</f>
        <v>393.00428878947372</v>
      </c>
      <c r="R656" s="10">
        <f>IFERROR(Table1[[#This Row],[Gross Cost]]/(Table1[[#This Row],[Impressions]]/1000),0)</f>
        <v>10.871361310489215</v>
      </c>
      <c r="S656" s="5">
        <f>IFERROR(Table1[[#This Row],[Viewable Impressions]]/Table1[[#This Row],[Measurable Impressions]],0)</f>
        <v>0.13131491160325451</v>
      </c>
      <c r="T656" s="10">
        <f>IFERROR(1000*Table1[[#This Row],[Gross Cost]]/Table1[[#This Row],[Viewable Impressions]],0)</f>
        <v>91.11085810678901</v>
      </c>
      <c r="U656" s="10"/>
    </row>
    <row r="657" spans="1:21" x14ac:dyDescent="0.2">
      <c r="A657" t="s">
        <v>551</v>
      </c>
      <c r="B657" t="s">
        <v>14</v>
      </c>
      <c r="C657" t="s">
        <v>30</v>
      </c>
      <c r="D657" t="s">
        <v>34</v>
      </c>
      <c r="E657" t="str">
        <f>TRIM(RIGHT(Table1[[#This Row],[Location]],LEN(Table1[[#This Row],[Location]])-FIND(",",Table1[[#This Row],[Location]])))</f>
        <v>Illinois</v>
      </c>
      <c r="F657" t="s">
        <v>538</v>
      </c>
      <c r="G657" t="s">
        <v>18</v>
      </c>
      <c r="H657" t="s">
        <v>26</v>
      </c>
      <c r="I657">
        <v>470192</v>
      </c>
      <c r="J657">
        <v>940</v>
      </c>
      <c r="K657">
        <v>336480</v>
      </c>
      <c r="L657">
        <v>443202</v>
      </c>
      <c r="M657">
        <v>3</v>
      </c>
      <c r="N657">
        <v>4963.9662509999998</v>
      </c>
      <c r="O657" s="7">
        <f>IFERROR(Table1[[#This Row],[Clicks]]/Table1[[#This Row],[Impressions]],0)</f>
        <v>1.9991833123489977E-3</v>
      </c>
      <c r="P657" s="5">
        <f>IFERROR(Table1[[#This Row],[Total Conversions]]/Table1[[#This Row],[Clicks]],0)</f>
        <v>3.1914893617021275E-3</v>
      </c>
      <c r="Q657" s="10">
        <f>IFERROR(Table1[[#This Row],[Gross Cost]]/Table1[[#This Row],[Total Conversions]],0)</f>
        <v>1654.6554169999999</v>
      </c>
      <c r="R657" s="10">
        <f>IFERROR(Table1[[#This Row],[Gross Cost]]/(Table1[[#This Row],[Impressions]]/1000),0)</f>
        <v>10.557317544747677</v>
      </c>
      <c r="S657" s="5">
        <f>IFERROR(Table1[[#This Row],[Viewable Impressions]]/Table1[[#This Row],[Measurable Impressions]],0)</f>
        <v>0.75920235016990001</v>
      </c>
      <c r="T657" s="10">
        <f>IFERROR(1000*Table1[[#This Row],[Gross Cost]]/Table1[[#This Row],[Viewable Impressions]],0)</f>
        <v>14.752633889087019</v>
      </c>
      <c r="U657" s="10"/>
    </row>
    <row r="658" spans="1:21" x14ac:dyDescent="0.2">
      <c r="A658" t="s">
        <v>43</v>
      </c>
      <c r="B658" t="s">
        <v>21</v>
      </c>
      <c r="C658" t="s">
        <v>30</v>
      </c>
      <c r="D658" t="s">
        <v>44</v>
      </c>
      <c r="E658" t="str">
        <f>TRIM(RIGHT(Table1[[#This Row],[Location]],LEN(Table1[[#This Row],[Location]])-FIND(",",Table1[[#This Row],[Location]])))</f>
        <v>Florida</v>
      </c>
      <c r="F658" t="s">
        <v>24</v>
      </c>
      <c r="G658" t="s">
        <v>45</v>
      </c>
      <c r="H658" t="s">
        <v>26</v>
      </c>
      <c r="I658">
        <v>213699</v>
      </c>
      <c r="J658">
        <v>270</v>
      </c>
      <c r="K658">
        <v>18395</v>
      </c>
      <c r="L658">
        <v>164487</v>
      </c>
      <c r="M658">
        <v>4</v>
      </c>
      <c r="N658">
        <v>2194.9871250000001</v>
      </c>
      <c r="O658" s="7">
        <f>IFERROR(Table1[[#This Row],[Clicks]]/Table1[[#This Row],[Impressions]],0)</f>
        <v>1.2634593517049683E-3</v>
      </c>
      <c r="P658" s="5">
        <f>IFERROR(Table1[[#This Row],[Total Conversions]]/Table1[[#This Row],[Clicks]],0)</f>
        <v>1.4814814814814815E-2</v>
      </c>
      <c r="Q658" s="10">
        <f>IFERROR(Table1[[#This Row],[Gross Cost]]/Table1[[#This Row],[Total Conversions]],0)</f>
        <v>548.74678125000003</v>
      </c>
      <c r="R658" s="10">
        <f>IFERROR(Table1[[#This Row],[Gross Cost]]/(Table1[[#This Row],[Impressions]]/1000),0)</f>
        <v>10.271396333160192</v>
      </c>
      <c r="S658" s="5">
        <f>IFERROR(Table1[[#This Row],[Viewable Impressions]]/Table1[[#This Row],[Measurable Impressions]],0)</f>
        <v>0.11183254603707284</v>
      </c>
      <c r="T658" s="10">
        <f>IFERROR(1000*Table1[[#This Row],[Gross Cost]]/Table1[[#This Row],[Viewable Impressions]],0)</f>
        <v>119.32520385974449</v>
      </c>
      <c r="U658" s="10"/>
    </row>
    <row r="659" spans="1:21" x14ac:dyDescent="0.2">
      <c r="A659" t="s">
        <v>327</v>
      </c>
      <c r="B659" t="s">
        <v>14</v>
      </c>
      <c r="C659" t="s">
        <v>22</v>
      </c>
      <c r="D659" t="s">
        <v>16</v>
      </c>
      <c r="E659" t="str">
        <f>TRIM(RIGHT(Table1[[#This Row],[Location]],LEN(Table1[[#This Row],[Location]])-FIND(",",Table1[[#This Row],[Location]])))</f>
        <v>California</v>
      </c>
      <c r="F659" t="s">
        <v>296</v>
      </c>
      <c r="G659" t="s">
        <v>116</v>
      </c>
      <c r="H659" t="s">
        <v>26</v>
      </c>
      <c r="I659">
        <v>144088</v>
      </c>
      <c r="J659">
        <v>490</v>
      </c>
      <c r="K659">
        <v>26416</v>
      </c>
      <c r="L659">
        <v>137369</v>
      </c>
      <c r="M659">
        <v>7</v>
      </c>
      <c r="N659">
        <v>1464.0642350000001</v>
      </c>
      <c r="O659" s="7">
        <f>IFERROR(Table1[[#This Row],[Clicks]]/Table1[[#This Row],[Impressions]],0)</f>
        <v>3.4006995724834821E-3</v>
      </c>
      <c r="P659" s="5">
        <f>IFERROR(Table1[[#This Row],[Total Conversions]]/Table1[[#This Row],[Clicks]],0)</f>
        <v>1.4285714285714285E-2</v>
      </c>
      <c r="Q659" s="10">
        <f>IFERROR(Table1[[#This Row],[Gross Cost]]/Table1[[#This Row],[Total Conversions]],0)</f>
        <v>209.15203357142857</v>
      </c>
      <c r="R659" s="10">
        <f>IFERROR(Table1[[#This Row],[Gross Cost]]/(Table1[[#This Row],[Impressions]]/1000),0)</f>
        <v>10.160903302148688</v>
      </c>
      <c r="S659" s="5">
        <f>IFERROR(Table1[[#This Row],[Viewable Impressions]]/Table1[[#This Row],[Measurable Impressions]],0)</f>
        <v>0.19229957268379327</v>
      </c>
      <c r="T659" s="10">
        <f>IFERROR(1000*Table1[[#This Row],[Gross Cost]]/Table1[[#This Row],[Viewable Impressions]],0)</f>
        <v>55.423388665960026</v>
      </c>
      <c r="U659" s="10"/>
    </row>
    <row r="660" spans="1:21" x14ac:dyDescent="0.2">
      <c r="A660" t="s">
        <v>690</v>
      </c>
      <c r="B660" t="s">
        <v>21</v>
      </c>
      <c r="C660" t="s">
        <v>15</v>
      </c>
      <c r="D660" t="s">
        <v>34</v>
      </c>
      <c r="E660" t="str">
        <f>TRIM(RIGHT(Table1[[#This Row],[Location]],LEN(Table1[[#This Row],[Location]])-FIND(",",Table1[[#This Row],[Location]])))</f>
        <v>Illinois</v>
      </c>
      <c r="F660" t="s">
        <v>685</v>
      </c>
      <c r="G660" t="s">
        <v>18</v>
      </c>
      <c r="H660" t="s">
        <v>26</v>
      </c>
      <c r="I660">
        <v>152881</v>
      </c>
      <c r="J660">
        <v>426</v>
      </c>
      <c r="K660">
        <v>94895</v>
      </c>
      <c r="L660">
        <v>145113</v>
      </c>
      <c r="M660">
        <v>11</v>
      </c>
      <c r="N660">
        <v>1496.6685239999999</v>
      </c>
      <c r="O660" s="7">
        <f>IFERROR(Table1[[#This Row],[Clicks]]/Table1[[#This Row],[Impressions]],0)</f>
        <v>2.786480988481237E-3</v>
      </c>
      <c r="P660" s="5">
        <f>IFERROR(Table1[[#This Row],[Total Conversions]]/Table1[[#This Row],[Clicks]],0)</f>
        <v>2.5821596244131457E-2</v>
      </c>
      <c r="Q660" s="10">
        <f>IFERROR(Table1[[#This Row],[Gross Cost]]/Table1[[#This Row],[Total Conversions]],0)</f>
        <v>136.0607749090909</v>
      </c>
      <c r="R660" s="10">
        <f>IFERROR(Table1[[#This Row],[Gross Cost]]/(Table1[[#This Row],[Impressions]]/1000),0)</f>
        <v>9.7897614746109713</v>
      </c>
      <c r="S660" s="5">
        <f>IFERROR(Table1[[#This Row],[Viewable Impressions]]/Table1[[#This Row],[Measurable Impressions]],0)</f>
        <v>0.65393865470357582</v>
      </c>
      <c r="T660" s="10">
        <f>IFERROR(1000*Table1[[#This Row],[Gross Cost]]/Table1[[#This Row],[Viewable Impressions]],0)</f>
        <v>15.77183754676221</v>
      </c>
      <c r="U660" s="10"/>
    </row>
    <row r="661" spans="1:21" x14ac:dyDescent="0.2">
      <c r="A661" t="s">
        <v>633</v>
      </c>
      <c r="B661" t="s">
        <v>21</v>
      </c>
      <c r="C661" t="s">
        <v>15</v>
      </c>
      <c r="D661" t="s">
        <v>432</v>
      </c>
      <c r="E661" t="str">
        <f>TRIM(RIGHT(Table1[[#This Row],[Location]],LEN(Table1[[#This Row],[Location]])-FIND(",",Table1[[#This Row],[Location]])))</f>
        <v>Mississippi</v>
      </c>
      <c r="F661" t="s">
        <v>611</v>
      </c>
      <c r="G661" t="s">
        <v>32</v>
      </c>
      <c r="H661" t="s">
        <v>26</v>
      </c>
      <c r="I661">
        <v>171575</v>
      </c>
      <c r="J661">
        <v>499</v>
      </c>
      <c r="K661">
        <v>101487</v>
      </c>
      <c r="L661">
        <v>136036</v>
      </c>
      <c r="M661">
        <v>8</v>
      </c>
      <c r="N661">
        <v>1658.3324259999999</v>
      </c>
      <c r="O661" s="7">
        <f>IFERROR(Table1[[#This Row],[Clicks]]/Table1[[#This Row],[Impressions]],0)</f>
        <v>2.9083491184613143E-3</v>
      </c>
      <c r="P661" s="5">
        <f>IFERROR(Table1[[#This Row],[Total Conversions]]/Table1[[#This Row],[Clicks]],0)</f>
        <v>1.6032064128256512E-2</v>
      </c>
      <c r="Q661" s="10">
        <f>IFERROR(Table1[[#This Row],[Gross Cost]]/Table1[[#This Row],[Total Conversions]],0)</f>
        <v>207.29155324999999</v>
      </c>
      <c r="R661" s="10">
        <f>IFERROR(Table1[[#This Row],[Gross Cost]]/(Table1[[#This Row],[Impressions]]/1000),0)</f>
        <v>9.6653499985429114</v>
      </c>
      <c r="S661" s="5">
        <f>IFERROR(Table1[[#This Row],[Viewable Impressions]]/Table1[[#This Row],[Measurable Impressions]],0)</f>
        <v>0.74603046252462579</v>
      </c>
      <c r="T661" s="10">
        <f>IFERROR(1000*Table1[[#This Row],[Gross Cost]]/Table1[[#This Row],[Viewable Impressions]],0)</f>
        <v>16.340343354321242</v>
      </c>
      <c r="U661" s="10"/>
    </row>
    <row r="662" spans="1:21" x14ac:dyDescent="0.2">
      <c r="A662" t="s">
        <v>128</v>
      </c>
      <c r="B662" t="s">
        <v>14</v>
      </c>
      <c r="C662" t="s">
        <v>41</v>
      </c>
      <c r="D662" t="s">
        <v>34</v>
      </c>
      <c r="E662" t="str">
        <f>TRIM(RIGHT(Table1[[#This Row],[Location]],LEN(Table1[[#This Row],[Location]])-FIND(",",Table1[[#This Row],[Location]])))</f>
        <v>Illinois</v>
      </c>
      <c r="F662" t="s">
        <v>114</v>
      </c>
      <c r="G662" t="s">
        <v>35</v>
      </c>
      <c r="H662" t="s">
        <v>26</v>
      </c>
      <c r="I662">
        <v>210096</v>
      </c>
      <c r="J662">
        <v>590</v>
      </c>
      <c r="K662">
        <v>90928</v>
      </c>
      <c r="L662">
        <v>184823</v>
      </c>
      <c r="M662">
        <v>4</v>
      </c>
      <c r="N662">
        <v>2027.431388</v>
      </c>
      <c r="O662" s="7">
        <f>IFERROR(Table1[[#This Row],[Clicks]]/Table1[[#This Row],[Impressions]],0)</f>
        <v>2.808240042647171E-3</v>
      </c>
      <c r="P662" s="5">
        <f>IFERROR(Table1[[#This Row],[Total Conversions]]/Table1[[#This Row],[Clicks]],0)</f>
        <v>6.7796610169491523E-3</v>
      </c>
      <c r="Q662" s="10">
        <f>IFERROR(Table1[[#This Row],[Gross Cost]]/Table1[[#This Row],[Total Conversions]],0)</f>
        <v>506.85784699999999</v>
      </c>
      <c r="R662" s="10">
        <f>IFERROR(Table1[[#This Row],[Gross Cost]]/(Table1[[#This Row],[Impressions]]/1000),0)</f>
        <v>9.6500237415276828</v>
      </c>
      <c r="S662" s="5">
        <f>IFERROR(Table1[[#This Row],[Viewable Impressions]]/Table1[[#This Row],[Measurable Impressions]],0)</f>
        <v>0.49197340157880781</v>
      </c>
      <c r="T662" s="10">
        <f>IFERROR(1000*Table1[[#This Row],[Gross Cost]]/Table1[[#This Row],[Viewable Impressions]],0)</f>
        <v>22.297107469646313</v>
      </c>
      <c r="U662" s="10"/>
    </row>
    <row r="663" spans="1:21" x14ac:dyDescent="0.2">
      <c r="A663" t="s">
        <v>945</v>
      </c>
      <c r="B663" t="s">
        <v>14</v>
      </c>
      <c r="C663" t="s">
        <v>15</v>
      </c>
      <c r="D663" t="s">
        <v>34</v>
      </c>
      <c r="E663" t="str">
        <f>TRIM(RIGHT(Table1[[#This Row],[Location]],LEN(Table1[[#This Row],[Location]])-FIND(",",Table1[[#This Row],[Location]])))</f>
        <v>Illinois</v>
      </c>
      <c r="F663" t="s">
        <v>918</v>
      </c>
      <c r="G663" t="s">
        <v>25</v>
      </c>
      <c r="H663" t="s">
        <v>26</v>
      </c>
      <c r="I663">
        <v>180353</v>
      </c>
      <c r="J663">
        <v>471</v>
      </c>
      <c r="K663">
        <v>67637</v>
      </c>
      <c r="L663">
        <v>145416</v>
      </c>
      <c r="M663">
        <v>8</v>
      </c>
      <c r="N663">
        <v>1720.881985</v>
      </c>
      <c r="O663" s="7">
        <f>IFERROR(Table1[[#This Row],[Clicks]]/Table1[[#This Row],[Impressions]],0)</f>
        <v>2.6115451364823431E-3</v>
      </c>
      <c r="P663" s="5">
        <f>IFERROR(Table1[[#This Row],[Total Conversions]]/Table1[[#This Row],[Clicks]],0)</f>
        <v>1.6985138004246284E-2</v>
      </c>
      <c r="Q663" s="10">
        <f>IFERROR(Table1[[#This Row],[Gross Cost]]/Table1[[#This Row],[Total Conversions]],0)</f>
        <v>215.110248125</v>
      </c>
      <c r="R663" s="10">
        <f>IFERROR(Table1[[#This Row],[Gross Cost]]/(Table1[[#This Row],[Impressions]]/1000),0)</f>
        <v>9.541743053899852</v>
      </c>
      <c r="S663" s="5">
        <f>IFERROR(Table1[[#This Row],[Viewable Impressions]]/Table1[[#This Row],[Measurable Impressions]],0)</f>
        <v>0.46512763382296307</v>
      </c>
      <c r="T663" s="10">
        <f>IFERROR(1000*Table1[[#This Row],[Gross Cost]]/Table1[[#This Row],[Viewable Impressions]],0)</f>
        <v>25.442908245486937</v>
      </c>
      <c r="U663" s="10"/>
    </row>
    <row r="664" spans="1:21" x14ac:dyDescent="0.2">
      <c r="A664" t="s">
        <v>735</v>
      </c>
      <c r="B664" t="s">
        <v>21</v>
      </c>
      <c r="C664" t="s">
        <v>15</v>
      </c>
      <c r="D664" t="s">
        <v>130</v>
      </c>
      <c r="E664" t="str">
        <f>TRIM(RIGHT(Table1[[#This Row],[Location]],LEN(Table1[[#This Row],[Location]])-FIND(",",Table1[[#This Row],[Location]])))</f>
        <v>Michigan</v>
      </c>
      <c r="F664" t="s">
        <v>734</v>
      </c>
      <c r="G664" t="s">
        <v>18</v>
      </c>
      <c r="H664" t="s">
        <v>26</v>
      </c>
      <c r="I664">
        <v>268811</v>
      </c>
      <c r="J664">
        <v>799</v>
      </c>
      <c r="K664">
        <v>95989</v>
      </c>
      <c r="L664">
        <v>173923</v>
      </c>
      <c r="M664">
        <v>4</v>
      </c>
      <c r="N664">
        <v>2549.1151580000001</v>
      </c>
      <c r="O664" s="7">
        <f>IFERROR(Table1[[#This Row],[Clicks]]/Table1[[#This Row],[Impressions]],0)</f>
        <v>2.9723486018057295E-3</v>
      </c>
      <c r="P664" s="5">
        <f>IFERROR(Table1[[#This Row],[Total Conversions]]/Table1[[#This Row],[Clicks]],0)</f>
        <v>5.0062578222778474E-3</v>
      </c>
      <c r="Q664" s="10">
        <f>IFERROR(Table1[[#This Row],[Gross Cost]]/Table1[[#This Row],[Total Conversions]],0)</f>
        <v>637.27878950000002</v>
      </c>
      <c r="R664" s="10">
        <f>IFERROR(Table1[[#This Row],[Gross Cost]]/(Table1[[#This Row],[Impressions]]/1000),0)</f>
        <v>9.4829272537210176</v>
      </c>
      <c r="S664" s="5">
        <f>IFERROR(Table1[[#This Row],[Viewable Impressions]]/Table1[[#This Row],[Measurable Impressions]],0)</f>
        <v>0.55190515342996616</v>
      </c>
      <c r="T664" s="10">
        <f>IFERROR(1000*Table1[[#This Row],[Gross Cost]]/Table1[[#This Row],[Viewable Impressions]],0)</f>
        <v>26.556325808165521</v>
      </c>
      <c r="U664" s="10"/>
    </row>
    <row r="665" spans="1:21" x14ac:dyDescent="0.2">
      <c r="A665" t="s">
        <v>990</v>
      </c>
      <c r="B665" t="s">
        <v>21</v>
      </c>
      <c r="C665" t="s">
        <v>22</v>
      </c>
      <c r="D665" t="s">
        <v>34</v>
      </c>
      <c r="E665" t="str">
        <f>TRIM(RIGHT(Table1[[#This Row],[Location]],LEN(Table1[[#This Row],[Location]])-FIND(",",Table1[[#This Row],[Location]])))</f>
        <v>Illinois</v>
      </c>
      <c r="F665" t="s">
        <v>991</v>
      </c>
      <c r="G665" t="s">
        <v>25</v>
      </c>
      <c r="H665" t="s">
        <v>26</v>
      </c>
      <c r="I665">
        <v>888037</v>
      </c>
      <c r="J665">
        <v>2841</v>
      </c>
      <c r="K665">
        <v>370429</v>
      </c>
      <c r="L665">
        <v>820340</v>
      </c>
      <c r="M665">
        <v>42</v>
      </c>
      <c r="N665">
        <v>8134.3505240000004</v>
      </c>
      <c r="O665" s="7">
        <f>IFERROR(Table1[[#This Row],[Clicks]]/Table1[[#This Row],[Impressions]],0)</f>
        <v>3.1991910246982952E-3</v>
      </c>
      <c r="P665" s="5">
        <f>IFERROR(Table1[[#This Row],[Total Conversions]]/Table1[[#This Row],[Clicks]],0)</f>
        <v>1.4783526927138331E-2</v>
      </c>
      <c r="Q665" s="10">
        <f>IFERROR(Table1[[#This Row],[Gross Cost]]/Table1[[#This Row],[Total Conversions]],0)</f>
        <v>193.67501247619049</v>
      </c>
      <c r="R665" s="10">
        <f>IFERROR(Table1[[#This Row],[Gross Cost]]/(Table1[[#This Row],[Impressions]]/1000),0)</f>
        <v>9.1599229806866163</v>
      </c>
      <c r="S665" s="5">
        <f>IFERROR(Table1[[#This Row],[Viewable Impressions]]/Table1[[#This Row],[Measurable Impressions]],0)</f>
        <v>0.45155545261720748</v>
      </c>
      <c r="T665" s="10">
        <f>IFERROR(1000*Table1[[#This Row],[Gross Cost]]/Table1[[#This Row],[Viewable Impressions]],0)</f>
        <v>21.959270262317474</v>
      </c>
      <c r="U665" s="10"/>
    </row>
    <row r="666" spans="1:21" x14ac:dyDescent="0.2">
      <c r="A666" t="s">
        <v>529</v>
      </c>
      <c r="B666" t="s">
        <v>21</v>
      </c>
      <c r="C666" t="s">
        <v>30</v>
      </c>
      <c r="D666" t="s">
        <v>530</v>
      </c>
      <c r="E666" t="str">
        <f>TRIM(RIGHT(Table1[[#This Row],[Location]],LEN(Table1[[#This Row],[Location]])-FIND(",",Table1[[#This Row],[Location]])))</f>
        <v>Ohio</v>
      </c>
      <c r="F666" t="s">
        <v>517</v>
      </c>
      <c r="G666" t="s">
        <v>18</v>
      </c>
      <c r="H666" t="s">
        <v>26</v>
      </c>
      <c r="I666">
        <v>198754</v>
      </c>
      <c r="J666">
        <v>480</v>
      </c>
      <c r="K666">
        <v>137649</v>
      </c>
      <c r="L666">
        <v>178415</v>
      </c>
      <c r="M666">
        <v>4</v>
      </c>
      <c r="N666">
        <v>1803.0814969999999</v>
      </c>
      <c r="O666" s="7">
        <f>IFERROR(Table1[[#This Row],[Clicks]]/Table1[[#This Row],[Impressions]],0)</f>
        <v>2.4150457349286052E-3</v>
      </c>
      <c r="P666" s="5">
        <f>IFERROR(Table1[[#This Row],[Total Conversions]]/Table1[[#This Row],[Clicks]],0)</f>
        <v>8.3333333333333332E-3</v>
      </c>
      <c r="Q666" s="10">
        <f>IFERROR(Table1[[#This Row],[Gross Cost]]/Table1[[#This Row],[Total Conversions]],0)</f>
        <v>450.77037424999997</v>
      </c>
      <c r="R666" s="10">
        <f>IFERROR(Table1[[#This Row],[Gross Cost]]/(Table1[[#This Row],[Impressions]]/1000),0)</f>
        <v>9.0719255813719464</v>
      </c>
      <c r="S666" s="5">
        <f>IFERROR(Table1[[#This Row],[Viewable Impressions]]/Table1[[#This Row],[Measurable Impressions]],0)</f>
        <v>0.77151024297284421</v>
      </c>
      <c r="T666" s="10">
        <f>IFERROR(1000*Table1[[#This Row],[Gross Cost]]/Table1[[#This Row],[Viewable Impressions]],0)</f>
        <v>13.099125289686086</v>
      </c>
      <c r="U666" s="10"/>
    </row>
    <row r="667" spans="1:21" x14ac:dyDescent="0.2">
      <c r="A667" t="s">
        <v>610</v>
      </c>
      <c r="B667" t="s">
        <v>21</v>
      </c>
      <c r="C667" t="s">
        <v>41</v>
      </c>
      <c r="D667" t="s">
        <v>16</v>
      </c>
      <c r="E667" t="str">
        <f>TRIM(RIGHT(Table1[[#This Row],[Location]],LEN(Table1[[#This Row],[Location]])-FIND(",",Table1[[#This Row],[Location]])))</f>
        <v>California</v>
      </c>
      <c r="F667" t="s">
        <v>611</v>
      </c>
      <c r="G667" t="s">
        <v>18</v>
      </c>
      <c r="H667" t="s">
        <v>26</v>
      </c>
      <c r="I667">
        <v>921791</v>
      </c>
      <c r="J667">
        <v>2150</v>
      </c>
      <c r="K667">
        <v>668449</v>
      </c>
      <c r="L667">
        <v>852442</v>
      </c>
      <c r="M667">
        <v>69</v>
      </c>
      <c r="N667">
        <v>8042.8979490000002</v>
      </c>
      <c r="O667" s="7">
        <f>IFERROR(Table1[[#This Row],[Clicks]]/Table1[[#This Row],[Impressions]],0)</f>
        <v>2.3324159164062135E-3</v>
      </c>
      <c r="P667" s="5">
        <f>IFERROR(Table1[[#This Row],[Total Conversions]]/Table1[[#This Row],[Clicks]],0)</f>
        <v>3.2093023255813952E-2</v>
      </c>
      <c r="Q667" s="10">
        <f>IFERROR(Table1[[#This Row],[Gross Cost]]/Table1[[#This Row],[Total Conversions]],0)</f>
        <v>116.56373839130435</v>
      </c>
      <c r="R667" s="10">
        <f>IFERROR(Table1[[#This Row],[Gross Cost]]/(Table1[[#This Row],[Impressions]]/1000),0)</f>
        <v>8.7252945071062751</v>
      </c>
      <c r="S667" s="5">
        <f>IFERROR(Table1[[#This Row],[Viewable Impressions]]/Table1[[#This Row],[Measurable Impressions]],0)</f>
        <v>0.78415774914891567</v>
      </c>
      <c r="T667" s="10">
        <f>IFERROR(1000*Table1[[#This Row],[Gross Cost]]/Table1[[#This Row],[Viewable Impressions]],0)</f>
        <v>12.032178893228952</v>
      </c>
      <c r="U667" s="10"/>
    </row>
    <row r="668" spans="1:21" x14ac:dyDescent="0.2">
      <c r="A668" t="s">
        <v>316</v>
      </c>
      <c r="B668" t="s">
        <v>14</v>
      </c>
      <c r="C668" t="s">
        <v>41</v>
      </c>
      <c r="D668" t="s">
        <v>141</v>
      </c>
      <c r="E668" t="str">
        <f>TRIM(RIGHT(Table1[[#This Row],[Location]],LEN(Table1[[#This Row],[Location]])-FIND(",",Table1[[#This Row],[Location]])))</f>
        <v>Florida-Thomasville, Georgia</v>
      </c>
      <c r="F668" t="s">
        <v>296</v>
      </c>
      <c r="G668" t="s">
        <v>18</v>
      </c>
      <c r="H668" t="s">
        <v>26</v>
      </c>
      <c r="I668">
        <v>189462</v>
      </c>
      <c r="J668">
        <v>478</v>
      </c>
      <c r="K668">
        <v>53431</v>
      </c>
      <c r="L668">
        <v>163634</v>
      </c>
      <c r="M668">
        <v>5</v>
      </c>
      <c r="N668">
        <v>1625.17488</v>
      </c>
      <c r="O668" s="7">
        <f>IFERROR(Table1[[#This Row],[Clicks]]/Table1[[#This Row],[Impressions]],0)</f>
        <v>2.522933358668229E-3</v>
      </c>
      <c r="P668" s="5">
        <f>IFERROR(Table1[[#This Row],[Total Conversions]]/Table1[[#This Row],[Clicks]],0)</f>
        <v>1.0460251046025104E-2</v>
      </c>
      <c r="Q668" s="10">
        <f>IFERROR(Table1[[#This Row],[Gross Cost]]/Table1[[#This Row],[Total Conversions]],0)</f>
        <v>325.03497600000003</v>
      </c>
      <c r="R668" s="10">
        <f>IFERROR(Table1[[#This Row],[Gross Cost]]/(Table1[[#This Row],[Impressions]]/1000),0)</f>
        <v>8.5778408335180671</v>
      </c>
      <c r="S668" s="5">
        <f>IFERROR(Table1[[#This Row],[Viewable Impressions]]/Table1[[#This Row],[Measurable Impressions]],0)</f>
        <v>0.32652749428602856</v>
      </c>
      <c r="T668" s="10">
        <f>IFERROR(1000*Table1[[#This Row],[Gross Cost]]/Table1[[#This Row],[Viewable Impressions]],0)</f>
        <v>30.416329097340498</v>
      </c>
      <c r="U668" s="10"/>
    </row>
    <row r="669" spans="1:21" x14ac:dyDescent="0.2">
      <c r="A669" t="s">
        <v>131</v>
      </c>
      <c r="B669" t="s">
        <v>14</v>
      </c>
      <c r="C669" t="s">
        <v>41</v>
      </c>
      <c r="D669" t="s">
        <v>83</v>
      </c>
      <c r="E669" t="str">
        <f>TRIM(RIGHT(Table1[[#This Row],[Location]],LEN(Table1[[#This Row],[Location]])-FIND(",",Table1[[#This Row],[Location]])))</f>
        <v>Florida</v>
      </c>
      <c r="F669" t="s">
        <v>114</v>
      </c>
      <c r="G669" t="s">
        <v>35</v>
      </c>
      <c r="H669" t="s">
        <v>26</v>
      </c>
      <c r="I669">
        <v>188170</v>
      </c>
      <c r="J669">
        <v>490</v>
      </c>
      <c r="K669">
        <v>155266</v>
      </c>
      <c r="L669">
        <v>176562</v>
      </c>
      <c r="M669">
        <v>6</v>
      </c>
      <c r="N669">
        <v>1599.7150690000001</v>
      </c>
      <c r="O669" s="7">
        <f>IFERROR(Table1[[#This Row],[Clicks]]/Table1[[#This Row],[Impressions]],0)</f>
        <v>2.6040282723069565E-3</v>
      </c>
      <c r="P669" s="5">
        <f>IFERROR(Table1[[#This Row],[Total Conversions]]/Table1[[#This Row],[Clicks]],0)</f>
        <v>1.2244897959183673E-2</v>
      </c>
      <c r="Q669" s="10">
        <f>IFERROR(Table1[[#This Row],[Gross Cost]]/Table1[[#This Row],[Total Conversions]],0)</f>
        <v>266.6191781666667</v>
      </c>
      <c r="R669" s="10">
        <f>IFERROR(Table1[[#This Row],[Gross Cost]]/(Table1[[#This Row],[Impressions]]/1000),0)</f>
        <v>8.5014352394111725</v>
      </c>
      <c r="S669" s="5">
        <f>IFERROR(Table1[[#This Row],[Viewable Impressions]]/Table1[[#This Row],[Measurable Impressions]],0)</f>
        <v>0.87938514516147304</v>
      </c>
      <c r="T669" s="10">
        <f>IFERROR(1000*Table1[[#This Row],[Gross Cost]]/Table1[[#This Row],[Viewable Impressions]],0)</f>
        <v>10.303060998544435</v>
      </c>
      <c r="U669" s="10"/>
    </row>
    <row r="670" spans="1:21" x14ac:dyDescent="0.2">
      <c r="A670" t="s">
        <v>533</v>
      </c>
      <c r="B670" t="s">
        <v>21</v>
      </c>
      <c r="C670" t="s">
        <v>15</v>
      </c>
      <c r="D670" t="s">
        <v>28</v>
      </c>
      <c r="E670" t="str">
        <f>TRIM(RIGHT(Table1[[#This Row],[Location]],LEN(Table1[[#This Row],[Location]])-FIND(",",Table1[[#This Row],[Location]])))</f>
        <v>California</v>
      </c>
      <c r="F670" t="s">
        <v>517</v>
      </c>
      <c r="G670" t="s">
        <v>45</v>
      </c>
      <c r="H670" t="s">
        <v>26</v>
      </c>
      <c r="I670">
        <v>186702</v>
      </c>
      <c r="J670">
        <v>370</v>
      </c>
      <c r="K670">
        <v>132038</v>
      </c>
      <c r="L670">
        <v>167406</v>
      </c>
      <c r="M670">
        <v>4</v>
      </c>
      <c r="N670">
        <v>1568.7360200000001</v>
      </c>
      <c r="O670" s="7">
        <f>IFERROR(Table1[[#This Row],[Clicks]]/Table1[[#This Row],[Impressions]],0)</f>
        <v>1.9817677368212444E-3</v>
      </c>
      <c r="P670" s="5">
        <f>IFERROR(Table1[[#This Row],[Total Conversions]]/Table1[[#This Row],[Clicks]],0)</f>
        <v>1.0810810810810811E-2</v>
      </c>
      <c r="Q670" s="10">
        <f>IFERROR(Table1[[#This Row],[Gross Cost]]/Table1[[#This Row],[Total Conversions]],0)</f>
        <v>392.18400500000001</v>
      </c>
      <c r="R670" s="10">
        <f>IFERROR(Table1[[#This Row],[Gross Cost]]/(Table1[[#This Row],[Impressions]]/1000),0)</f>
        <v>8.4023525189874775</v>
      </c>
      <c r="S670" s="5">
        <f>IFERROR(Table1[[#This Row],[Viewable Impressions]]/Table1[[#This Row],[Measurable Impressions]],0)</f>
        <v>0.7887291972808621</v>
      </c>
      <c r="T670" s="10">
        <f>IFERROR(1000*Table1[[#This Row],[Gross Cost]]/Table1[[#This Row],[Viewable Impressions]],0)</f>
        <v>11.880943516260471</v>
      </c>
      <c r="U670" s="10"/>
    </row>
    <row r="671" spans="1:21" x14ac:dyDescent="0.2">
      <c r="A671" t="s">
        <v>639</v>
      </c>
      <c r="B671" t="s">
        <v>14</v>
      </c>
      <c r="C671" t="s">
        <v>22</v>
      </c>
      <c r="D671" t="s">
        <v>640</v>
      </c>
      <c r="E671" t="str">
        <f>TRIM(RIGHT(Table1[[#This Row],[Location]],LEN(Table1[[#This Row],[Location]])-FIND(",",Table1[[#This Row],[Location]])))</f>
        <v>Louisiana</v>
      </c>
      <c r="F671" t="s">
        <v>611</v>
      </c>
      <c r="G671" t="s">
        <v>35</v>
      </c>
      <c r="H671" t="s">
        <v>26</v>
      </c>
      <c r="I671">
        <v>177632</v>
      </c>
      <c r="J671">
        <v>485</v>
      </c>
      <c r="K671">
        <v>70865</v>
      </c>
      <c r="L671">
        <v>95871</v>
      </c>
      <c r="M671">
        <v>5</v>
      </c>
      <c r="N671">
        <v>1483.3844039999999</v>
      </c>
      <c r="O671" s="7">
        <f>IFERROR(Table1[[#This Row],[Clicks]]/Table1[[#This Row],[Impressions]],0)</f>
        <v>2.7303638983966851E-3</v>
      </c>
      <c r="P671" s="5">
        <f>IFERROR(Table1[[#This Row],[Total Conversions]]/Table1[[#This Row],[Clicks]],0)</f>
        <v>1.0309278350515464E-2</v>
      </c>
      <c r="Q671" s="10">
        <f>IFERROR(Table1[[#This Row],[Gross Cost]]/Table1[[#This Row],[Total Conversions]],0)</f>
        <v>296.67688079999999</v>
      </c>
      <c r="R671" s="10">
        <f>IFERROR(Table1[[#This Row],[Gross Cost]]/(Table1[[#This Row],[Impressions]]/1000),0)</f>
        <v>8.3508849981985218</v>
      </c>
      <c r="S671" s="5">
        <f>IFERROR(Table1[[#This Row],[Viewable Impressions]]/Table1[[#This Row],[Measurable Impressions]],0)</f>
        <v>0.73917034348238775</v>
      </c>
      <c r="T671" s="10">
        <f>IFERROR(1000*Table1[[#This Row],[Gross Cost]]/Table1[[#This Row],[Viewable Impressions]],0)</f>
        <v>20.93253939180131</v>
      </c>
      <c r="U671" s="10"/>
    </row>
    <row r="672" spans="1:21" x14ac:dyDescent="0.2">
      <c r="A672" t="s">
        <v>999</v>
      </c>
      <c r="B672" t="s">
        <v>21</v>
      </c>
      <c r="C672" t="s">
        <v>41</v>
      </c>
      <c r="D672" t="s">
        <v>54</v>
      </c>
      <c r="E672" t="str">
        <f>TRIM(RIGHT(Table1[[#This Row],[Location]],LEN(Table1[[#This Row],[Location]])-FIND(",",Table1[[#This Row],[Location]])))</f>
        <v>Florida</v>
      </c>
      <c r="F672" t="s">
        <v>991</v>
      </c>
      <c r="G672" t="s">
        <v>18</v>
      </c>
      <c r="H672" t="s">
        <v>26</v>
      </c>
      <c r="I672">
        <v>571090</v>
      </c>
      <c r="J672">
        <v>1541</v>
      </c>
      <c r="K672">
        <v>246243</v>
      </c>
      <c r="L672">
        <v>532325</v>
      </c>
      <c r="M672">
        <v>11</v>
      </c>
      <c r="N672">
        <v>4733.6187829999999</v>
      </c>
      <c r="O672" s="7">
        <f>IFERROR(Table1[[#This Row],[Clicks]]/Table1[[#This Row],[Impressions]],0)</f>
        <v>2.6983487716472012E-3</v>
      </c>
      <c r="P672" s="5">
        <f>IFERROR(Table1[[#This Row],[Total Conversions]]/Table1[[#This Row],[Clicks]],0)</f>
        <v>7.138221933809215E-3</v>
      </c>
      <c r="Q672" s="10">
        <f>IFERROR(Table1[[#This Row],[Gross Cost]]/Table1[[#This Row],[Total Conversions]],0)</f>
        <v>430.32898027272728</v>
      </c>
      <c r="R672" s="10">
        <f>IFERROR(Table1[[#This Row],[Gross Cost]]/(Table1[[#This Row],[Impressions]]/1000),0)</f>
        <v>8.2887439510409919</v>
      </c>
      <c r="S672" s="5">
        <f>IFERROR(Table1[[#This Row],[Viewable Impressions]]/Table1[[#This Row],[Measurable Impressions]],0)</f>
        <v>0.46258019067299111</v>
      </c>
      <c r="T672" s="10">
        <f>IFERROR(1000*Table1[[#This Row],[Gross Cost]]/Table1[[#This Row],[Viewable Impressions]],0)</f>
        <v>19.223363843845306</v>
      </c>
      <c r="U672" s="10"/>
    </row>
    <row r="673" spans="1:21" x14ac:dyDescent="0.2">
      <c r="A673" t="s">
        <v>1004</v>
      </c>
      <c r="B673" t="s">
        <v>14</v>
      </c>
      <c r="C673" t="s">
        <v>15</v>
      </c>
      <c r="D673" t="s">
        <v>272</v>
      </c>
      <c r="E673" t="str">
        <f>TRIM(RIGHT(Table1[[#This Row],[Location]],LEN(Table1[[#This Row],[Location]])-FIND(",",Table1[[#This Row],[Location]])))</f>
        <v>Indiana</v>
      </c>
      <c r="F673" t="s">
        <v>991</v>
      </c>
      <c r="G673" t="s">
        <v>25</v>
      </c>
      <c r="H673" t="s">
        <v>26</v>
      </c>
      <c r="I673">
        <v>276716</v>
      </c>
      <c r="J673">
        <v>799</v>
      </c>
      <c r="K673">
        <v>114927</v>
      </c>
      <c r="L673">
        <v>255481</v>
      </c>
      <c r="M673">
        <v>49</v>
      </c>
      <c r="N673">
        <v>2276.2774709999999</v>
      </c>
      <c r="O673" s="7">
        <f>IFERROR(Table1[[#This Row],[Clicks]]/Table1[[#This Row],[Impressions]],0)</f>
        <v>2.8874369389554635E-3</v>
      </c>
      <c r="P673" s="5">
        <f>IFERROR(Table1[[#This Row],[Total Conversions]]/Table1[[#This Row],[Clicks]],0)</f>
        <v>6.1326658322903627E-2</v>
      </c>
      <c r="Q673" s="10">
        <f>IFERROR(Table1[[#This Row],[Gross Cost]]/Table1[[#This Row],[Total Conversions]],0)</f>
        <v>46.45464226530612</v>
      </c>
      <c r="R673" s="10">
        <f>IFERROR(Table1[[#This Row],[Gross Cost]]/(Table1[[#This Row],[Impressions]]/1000),0)</f>
        <v>8.2260421189956485</v>
      </c>
      <c r="S673" s="5">
        <f>IFERROR(Table1[[#This Row],[Viewable Impressions]]/Table1[[#This Row],[Measurable Impressions]],0)</f>
        <v>0.44984558538599739</v>
      </c>
      <c r="T673" s="10">
        <f>IFERROR(1000*Table1[[#This Row],[Gross Cost]]/Table1[[#This Row],[Viewable Impressions]],0)</f>
        <v>19.806289827455689</v>
      </c>
      <c r="U673" s="10"/>
    </row>
    <row r="674" spans="1:21" x14ac:dyDescent="0.2">
      <c r="A674" t="s">
        <v>947</v>
      </c>
      <c r="B674" t="s">
        <v>21</v>
      </c>
      <c r="C674" t="s">
        <v>22</v>
      </c>
      <c r="D674" t="s">
        <v>34</v>
      </c>
      <c r="E674" t="str">
        <f>TRIM(RIGHT(Table1[[#This Row],[Location]],LEN(Table1[[#This Row],[Location]])-FIND(",",Table1[[#This Row],[Location]])))</f>
        <v>Illinois</v>
      </c>
      <c r="F674" t="s">
        <v>918</v>
      </c>
      <c r="G674" t="s">
        <v>116</v>
      </c>
      <c r="H674" t="s">
        <v>26</v>
      </c>
      <c r="I674">
        <v>194833</v>
      </c>
      <c r="J674">
        <v>499</v>
      </c>
      <c r="K674">
        <v>29091</v>
      </c>
      <c r="L674">
        <v>143813</v>
      </c>
      <c r="M674">
        <v>4</v>
      </c>
      <c r="N674">
        <v>1586.314519</v>
      </c>
      <c r="O674" s="7">
        <f>IFERROR(Table1[[#This Row],[Clicks]]/Table1[[#This Row],[Impressions]],0)</f>
        <v>2.5611677693203922E-3</v>
      </c>
      <c r="P674" s="5">
        <f>IFERROR(Table1[[#This Row],[Total Conversions]]/Table1[[#This Row],[Clicks]],0)</f>
        <v>8.0160320641282558E-3</v>
      </c>
      <c r="Q674" s="10">
        <f>IFERROR(Table1[[#This Row],[Gross Cost]]/Table1[[#This Row],[Total Conversions]],0)</f>
        <v>396.57862975</v>
      </c>
      <c r="R674" s="10">
        <f>IFERROR(Table1[[#This Row],[Gross Cost]]/(Table1[[#This Row],[Impressions]]/1000),0)</f>
        <v>8.1419190742841305</v>
      </c>
      <c r="S674" s="5">
        <f>IFERROR(Table1[[#This Row],[Viewable Impressions]]/Table1[[#This Row],[Measurable Impressions]],0)</f>
        <v>0.2022835209612483</v>
      </c>
      <c r="T674" s="10">
        <f>IFERROR(1000*Table1[[#This Row],[Gross Cost]]/Table1[[#This Row],[Viewable Impressions]],0)</f>
        <v>54.529391186277543</v>
      </c>
      <c r="U674" s="10"/>
    </row>
    <row r="675" spans="1:21" x14ac:dyDescent="0.2">
      <c r="A675" t="s">
        <v>545</v>
      </c>
      <c r="B675" t="s">
        <v>21</v>
      </c>
      <c r="C675" t="s">
        <v>30</v>
      </c>
      <c r="D675" t="s">
        <v>34</v>
      </c>
      <c r="E675" t="str">
        <f>TRIM(RIGHT(Table1[[#This Row],[Location]],LEN(Table1[[#This Row],[Location]])-FIND(",",Table1[[#This Row],[Location]])))</f>
        <v>Illinois</v>
      </c>
      <c r="F675" t="s">
        <v>538</v>
      </c>
      <c r="G675" t="s">
        <v>49</v>
      </c>
      <c r="H675" t="s">
        <v>26</v>
      </c>
      <c r="I675">
        <v>742281</v>
      </c>
      <c r="J675">
        <v>1999</v>
      </c>
      <c r="K675">
        <v>432673</v>
      </c>
      <c r="L675">
        <v>642404</v>
      </c>
      <c r="M675">
        <v>11</v>
      </c>
      <c r="N675">
        <v>6024.4224869999998</v>
      </c>
      <c r="O675" s="7">
        <f>IFERROR(Table1[[#This Row],[Clicks]]/Table1[[#This Row],[Impressions]],0)</f>
        <v>2.6930502060540417E-3</v>
      </c>
      <c r="P675" s="5">
        <f>IFERROR(Table1[[#This Row],[Total Conversions]]/Table1[[#This Row],[Clicks]],0)</f>
        <v>5.5027513756878439E-3</v>
      </c>
      <c r="Q675" s="10">
        <f>IFERROR(Table1[[#This Row],[Gross Cost]]/Table1[[#This Row],[Total Conversions]],0)</f>
        <v>547.67477154545452</v>
      </c>
      <c r="R675" s="10">
        <f>IFERROR(Table1[[#This Row],[Gross Cost]]/(Table1[[#This Row],[Impressions]]/1000),0)</f>
        <v>8.1160941570645075</v>
      </c>
      <c r="S675" s="5">
        <f>IFERROR(Table1[[#This Row],[Viewable Impressions]]/Table1[[#This Row],[Measurable Impressions]],0)</f>
        <v>0.67352164681415438</v>
      </c>
      <c r="T675" s="10">
        <f>IFERROR(1000*Table1[[#This Row],[Gross Cost]]/Table1[[#This Row],[Viewable Impressions]],0)</f>
        <v>13.923731055554656</v>
      </c>
      <c r="U675" s="10"/>
    </row>
    <row r="676" spans="1:21" x14ac:dyDescent="0.2">
      <c r="A676" t="s">
        <v>948</v>
      </c>
      <c r="B676" t="s">
        <v>14</v>
      </c>
      <c r="C676" t="s">
        <v>30</v>
      </c>
      <c r="D676" t="s">
        <v>141</v>
      </c>
      <c r="E676" t="str">
        <f>TRIM(RIGHT(Table1[[#This Row],[Location]],LEN(Table1[[#This Row],[Location]])-FIND(",",Table1[[#This Row],[Location]])))</f>
        <v>Florida-Thomasville, Georgia</v>
      </c>
      <c r="F676" t="s">
        <v>918</v>
      </c>
      <c r="G676" t="s">
        <v>116</v>
      </c>
      <c r="H676" t="s">
        <v>26</v>
      </c>
      <c r="I676">
        <v>197192</v>
      </c>
      <c r="J676">
        <v>519</v>
      </c>
      <c r="K676">
        <v>80623</v>
      </c>
      <c r="L676">
        <v>181763</v>
      </c>
      <c r="M676">
        <v>5</v>
      </c>
      <c r="N676">
        <v>1584.731757</v>
      </c>
      <c r="O676" s="7">
        <f>IFERROR(Table1[[#This Row],[Clicks]]/Table1[[#This Row],[Impressions]],0)</f>
        <v>2.6319526147105358E-3</v>
      </c>
      <c r="P676" s="5">
        <f>IFERROR(Table1[[#This Row],[Total Conversions]]/Table1[[#This Row],[Clicks]],0)</f>
        <v>9.6339113680154135E-3</v>
      </c>
      <c r="Q676" s="10">
        <f>IFERROR(Table1[[#This Row],[Gross Cost]]/Table1[[#This Row],[Total Conversions]],0)</f>
        <v>316.94635140000003</v>
      </c>
      <c r="R676" s="10">
        <f>IFERROR(Table1[[#This Row],[Gross Cost]]/(Table1[[#This Row],[Impressions]]/1000),0)</f>
        <v>8.0364911203294245</v>
      </c>
      <c r="S676" s="5">
        <f>IFERROR(Table1[[#This Row],[Viewable Impressions]]/Table1[[#This Row],[Measurable Impressions]],0)</f>
        <v>0.44356112080016286</v>
      </c>
      <c r="T676" s="10">
        <f>IFERROR(1000*Table1[[#This Row],[Gross Cost]]/Table1[[#This Row],[Viewable Impressions]],0)</f>
        <v>19.656075276285922</v>
      </c>
      <c r="U676" s="10"/>
    </row>
    <row r="677" spans="1:21" x14ac:dyDescent="0.2">
      <c r="A677" t="s">
        <v>614</v>
      </c>
      <c r="B677" t="s">
        <v>21</v>
      </c>
      <c r="C677" t="s">
        <v>22</v>
      </c>
      <c r="D677" t="s">
        <v>28</v>
      </c>
      <c r="E677" t="str">
        <f>TRIM(RIGHT(Table1[[#This Row],[Location]],LEN(Table1[[#This Row],[Location]])-FIND(",",Table1[[#This Row],[Location]])))</f>
        <v>California</v>
      </c>
      <c r="F677" t="s">
        <v>611</v>
      </c>
      <c r="G677" t="s">
        <v>18</v>
      </c>
      <c r="H677" t="s">
        <v>26</v>
      </c>
      <c r="I677">
        <v>999915</v>
      </c>
      <c r="J677">
        <v>2748</v>
      </c>
      <c r="K677">
        <v>618816</v>
      </c>
      <c r="L677">
        <v>829942</v>
      </c>
      <c r="M677">
        <v>23</v>
      </c>
      <c r="N677">
        <v>7879.3167869999997</v>
      </c>
      <c r="O677" s="7">
        <f>IFERROR(Table1[[#This Row],[Clicks]]/Table1[[#This Row],[Impressions]],0)</f>
        <v>2.7482335998559879E-3</v>
      </c>
      <c r="P677" s="5">
        <f>IFERROR(Table1[[#This Row],[Total Conversions]]/Table1[[#This Row],[Clicks]],0)</f>
        <v>8.3697234352256185E-3</v>
      </c>
      <c r="Q677" s="10">
        <f>IFERROR(Table1[[#This Row],[Gross Cost]]/Table1[[#This Row],[Total Conversions]],0)</f>
        <v>342.5789907391304</v>
      </c>
      <c r="R677" s="10">
        <f>IFERROR(Table1[[#This Row],[Gross Cost]]/(Table1[[#This Row],[Impressions]]/1000),0)</f>
        <v>7.8799865858597977</v>
      </c>
      <c r="S677" s="5">
        <f>IFERROR(Table1[[#This Row],[Viewable Impressions]]/Table1[[#This Row],[Measurable Impressions]],0)</f>
        <v>0.74561354889859777</v>
      </c>
      <c r="T677" s="10">
        <f>IFERROR(1000*Table1[[#This Row],[Gross Cost]]/Table1[[#This Row],[Viewable Impressions]],0)</f>
        <v>12.732891177668321</v>
      </c>
      <c r="U677" s="10"/>
    </row>
    <row r="678" spans="1:21" x14ac:dyDescent="0.2">
      <c r="A678" t="s">
        <v>540</v>
      </c>
      <c r="B678" t="s">
        <v>21</v>
      </c>
      <c r="C678" t="s">
        <v>30</v>
      </c>
      <c r="D678" t="s">
        <v>77</v>
      </c>
      <c r="E678" t="str">
        <f>TRIM(RIGHT(Table1[[#This Row],[Location]],LEN(Table1[[#This Row],[Location]])-FIND(",",Table1[[#This Row],[Location]])))</f>
        <v>New York</v>
      </c>
      <c r="F678" t="s">
        <v>538</v>
      </c>
      <c r="G678" t="s">
        <v>35</v>
      </c>
      <c r="H678" t="s">
        <v>26</v>
      </c>
      <c r="I678">
        <v>1010148</v>
      </c>
      <c r="J678">
        <v>2874</v>
      </c>
      <c r="K678">
        <v>699834</v>
      </c>
      <c r="L678">
        <v>955905</v>
      </c>
      <c r="M678">
        <v>31</v>
      </c>
      <c r="N678">
        <v>7788.7016210000002</v>
      </c>
      <c r="O678" s="7">
        <f>IFERROR(Table1[[#This Row],[Clicks]]/Table1[[#This Row],[Impressions]],0)</f>
        <v>2.8451276446619703E-3</v>
      </c>
      <c r="P678" s="5">
        <f>IFERROR(Table1[[#This Row],[Total Conversions]]/Table1[[#This Row],[Clicks]],0)</f>
        <v>1.0786360473208072E-2</v>
      </c>
      <c r="Q678" s="10">
        <f>IFERROR(Table1[[#This Row],[Gross Cost]]/Table1[[#This Row],[Total Conversions]],0)</f>
        <v>251.24843938709677</v>
      </c>
      <c r="R678" s="10">
        <f>IFERROR(Table1[[#This Row],[Gross Cost]]/(Table1[[#This Row],[Impressions]]/1000),0)</f>
        <v>7.7104559143808631</v>
      </c>
      <c r="S678" s="5">
        <f>IFERROR(Table1[[#This Row],[Viewable Impressions]]/Table1[[#This Row],[Measurable Impressions]],0)</f>
        <v>0.73211668523545748</v>
      </c>
      <c r="T678" s="10">
        <f>IFERROR(1000*Table1[[#This Row],[Gross Cost]]/Table1[[#This Row],[Viewable Impressions]],0)</f>
        <v>11.129355848672686</v>
      </c>
      <c r="U678" s="10"/>
    </row>
    <row r="679" spans="1:21" x14ac:dyDescent="0.2">
      <c r="A679" t="s">
        <v>944</v>
      </c>
      <c r="B679" t="s">
        <v>14</v>
      </c>
      <c r="C679" t="s">
        <v>30</v>
      </c>
      <c r="D679" t="s">
        <v>77</v>
      </c>
      <c r="E679" t="str">
        <f>TRIM(RIGHT(Table1[[#This Row],[Location]],LEN(Table1[[#This Row],[Location]])-FIND(",",Table1[[#This Row],[Location]])))</f>
        <v>New York</v>
      </c>
      <c r="F679" t="s">
        <v>918</v>
      </c>
      <c r="G679" t="s">
        <v>35</v>
      </c>
      <c r="H679" t="s">
        <v>26</v>
      </c>
      <c r="I679">
        <v>232635</v>
      </c>
      <c r="J679">
        <v>666</v>
      </c>
      <c r="K679">
        <v>34008</v>
      </c>
      <c r="L679">
        <v>195803</v>
      </c>
      <c r="M679">
        <v>39</v>
      </c>
      <c r="N679">
        <v>1773.991882</v>
      </c>
      <c r="O679" s="7">
        <f>IFERROR(Table1[[#This Row],[Clicks]]/Table1[[#This Row],[Impressions]],0)</f>
        <v>2.862853826810239E-3</v>
      </c>
      <c r="P679" s="5">
        <f>IFERROR(Table1[[#This Row],[Total Conversions]]/Table1[[#This Row],[Clicks]],0)</f>
        <v>5.8558558558558557E-2</v>
      </c>
      <c r="Q679" s="10">
        <f>IFERROR(Table1[[#This Row],[Gross Cost]]/Table1[[#This Row],[Total Conversions]],0)</f>
        <v>45.486971333333337</v>
      </c>
      <c r="R679" s="10">
        <f>IFERROR(Table1[[#This Row],[Gross Cost]]/(Table1[[#This Row],[Impressions]]/1000),0)</f>
        <v>7.625644816987986</v>
      </c>
      <c r="S679" s="5">
        <f>IFERROR(Table1[[#This Row],[Viewable Impressions]]/Table1[[#This Row],[Measurable Impressions]],0)</f>
        <v>0.17368477500344734</v>
      </c>
      <c r="T679" s="10">
        <f>IFERROR(1000*Table1[[#This Row],[Gross Cost]]/Table1[[#This Row],[Viewable Impressions]],0)</f>
        <v>52.163957951070337</v>
      </c>
      <c r="U679" s="10"/>
    </row>
    <row r="680" spans="1:21" x14ac:dyDescent="0.2">
      <c r="A680" t="s">
        <v>547</v>
      </c>
      <c r="B680" t="s">
        <v>14</v>
      </c>
      <c r="C680" t="s">
        <v>15</v>
      </c>
      <c r="D680" t="s">
        <v>44</v>
      </c>
      <c r="E680" t="str">
        <f>TRIM(RIGHT(Table1[[#This Row],[Location]],LEN(Table1[[#This Row],[Location]])-FIND(",",Table1[[#This Row],[Location]])))</f>
        <v>Florida</v>
      </c>
      <c r="F680" t="s">
        <v>538</v>
      </c>
      <c r="G680" t="s">
        <v>18</v>
      </c>
      <c r="H680" t="s">
        <v>26</v>
      </c>
      <c r="I680">
        <v>766674</v>
      </c>
      <c r="J680">
        <v>1984</v>
      </c>
      <c r="K680">
        <v>344201</v>
      </c>
      <c r="L680">
        <v>720606</v>
      </c>
      <c r="M680">
        <v>17</v>
      </c>
      <c r="N680">
        <v>5816.2346189999998</v>
      </c>
      <c r="O680" s="7">
        <f>IFERROR(Table1[[#This Row],[Clicks]]/Table1[[#This Row],[Impressions]],0)</f>
        <v>2.5878013340741956E-3</v>
      </c>
      <c r="P680" s="5">
        <f>IFERROR(Table1[[#This Row],[Total Conversions]]/Table1[[#This Row],[Clicks]],0)</f>
        <v>8.5685483870967735E-3</v>
      </c>
      <c r="Q680" s="10">
        <f>IFERROR(Table1[[#This Row],[Gross Cost]]/Table1[[#This Row],[Total Conversions]],0)</f>
        <v>342.1314481764706</v>
      </c>
      <c r="R680" s="10">
        <f>IFERROR(Table1[[#This Row],[Gross Cost]]/(Table1[[#This Row],[Impressions]]/1000),0)</f>
        <v>7.5863204165003637</v>
      </c>
      <c r="S680" s="5">
        <f>IFERROR(Table1[[#This Row],[Viewable Impressions]]/Table1[[#This Row],[Measurable Impressions]],0)</f>
        <v>0.47765491822160794</v>
      </c>
      <c r="T680" s="10">
        <f>IFERROR(1000*Table1[[#This Row],[Gross Cost]]/Table1[[#This Row],[Viewable Impressions]],0)</f>
        <v>16.897785360879254</v>
      </c>
      <c r="U680" s="10"/>
    </row>
    <row r="681" spans="1:21" x14ac:dyDescent="0.2">
      <c r="A681" t="s">
        <v>630</v>
      </c>
      <c r="B681" t="s">
        <v>21</v>
      </c>
      <c r="C681" t="s">
        <v>30</v>
      </c>
      <c r="D681" t="s">
        <v>34</v>
      </c>
      <c r="E681" t="str">
        <f>TRIM(RIGHT(Table1[[#This Row],[Location]],LEN(Table1[[#This Row],[Location]])-FIND(",",Table1[[#This Row],[Location]])))</f>
        <v>Illinois</v>
      </c>
      <c r="F681" t="s">
        <v>611</v>
      </c>
      <c r="G681" t="s">
        <v>18</v>
      </c>
      <c r="H681" t="s">
        <v>26</v>
      </c>
      <c r="I681">
        <v>297347</v>
      </c>
      <c r="J681">
        <v>751</v>
      </c>
      <c r="K681">
        <v>166412</v>
      </c>
      <c r="L681">
        <v>251319</v>
      </c>
      <c r="M681">
        <v>4</v>
      </c>
      <c r="N681">
        <v>2255.5224090000002</v>
      </c>
      <c r="O681" s="7">
        <f>IFERROR(Table1[[#This Row],[Clicks]]/Table1[[#This Row],[Impressions]],0)</f>
        <v>2.5256686632116683E-3</v>
      </c>
      <c r="P681" s="5">
        <f>IFERROR(Table1[[#This Row],[Total Conversions]]/Table1[[#This Row],[Clicks]],0)</f>
        <v>5.3262316910785623E-3</v>
      </c>
      <c r="Q681" s="10">
        <f>IFERROR(Table1[[#This Row],[Gross Cost]]/Table1[[#This Row],[Total Conversions]],0)</f>
        <v>563.88060225000004</v>
      </c>
      <c r="R681" s="10">
        <f>IFERROR(Table1[[#This Row],[Gross Cost]]/(Table1[[#This Row],[Impressions]]/1000),0)</f>
        <v>7.5854890380599107</v>
      </c>
      <c r="S681" s="5">
        <f>IFERROR(Table1[[#This Row],[Viewable Impressions]]/Table1[[#This Row],[Measurable Impressions]],0)</f>
        <v>0.66215447300044961</v>
      </c>
      <c r="T681" s="10">
        <f>IFERROR(1000*Table1[[#This Row],[Gross Cost]]/Table1[[#This Row],[Viewable Impressions]],0)</f>
        <v>13.553844728745522</v>
      </c>
      <c r="U681" s="10"/>
    </row>
    <row r="682" spans="1:21" x14ac:dyDescent="0.2">
      <c r="A682" t="s">
        <v>202</v>
      </c>
      <c r="B682" t="s">
        <v>14</v>
      </c>
      <c r="C682" t="s">
        <v>41</v>
      </c>
      <c r="D682" t="s">
        <v>203</v>
      </c>
      <c r="E682" t="str">
        <f>TRIM(RIGHT(Table1[[#This Row],[Location]],LEN(Table1[[#This Row],[Location]])-FIND(",",Table1[[#This Row],[Location]])))</f>
        <v>Michigan</v>
      </c>
      <c r="F682" t="s">
        <v>196</v>
      </c>
      <c r="G682" t="s">
        <v>45</v>
      </c>
      <c r="H682" t="s">
        <v>26</v>
      </c>
      <c r="I682">
        <v>510778</v>
      </c>
      <c r="J682">
        <v>1290</v>
      </c>
      <c r="K682">
        <v>70777</v>
      </c>
      <c r="L682">
        <v>436133</v>
      </c>
      <c r="M682">
        <v>6</v>
      </c>
      <c r="N682">
        <v>3870.2538669999999</v>
      </c>
      <c r="O682" s="7">
        <f>IFERROR(Table1[[#This Row],[Clicks]]/Table1[[#This Row],[Impressions]],0)</f>
        <v>2.5255590491368072E-3</v>
      </c>
      <c r="P682" s="5">
        <f>IFERROR(Table1[[#This Row],[Total Conversions]]/Table1[[#This Row],[Clicks]],0)</f>
        <v>4.6511627906976744E-3</v>
      </c>
      <c r="Q682" s="10">
        <f>IFERROR(Table1[[#This Row],[Gross Cost]]/Table1[[#This Row],[Total Conversions]],0)</f>
        <v>645.04231116666665</v>
      </c>
      <c r="R682" s="10">
        <f>IFERROR(Table1[[#This Row],[Gross Cost]]/(Table1[[#This Row],[Impressions]]/1000),0)</f>
        <v>7.5771741676423021</v>
      </c>
      <c r="S682" s="5">
        <f>IFERROR(Table1[[#This Row],[Viewable Impressions]]/Table1[[#This Row],[Measurable Impressions]],0)</f>
        <v>0.16228306502832851</v>
      </c>
      <c r="T682" s="10">
        <f>IFERROR(1000*Table1[[#This Row],[Gross Cost]]/Table1[[#This Row],[Viewable Impressions]],0)</f>
        <v>54.682366686918066</v>
      </c>
      <c r="U682" s="10"/>
    </row>
    <row r="683" spans="1:21" x14ac:dyDescent="0.2">
      <c r="A683" t="s">
        <v>997</v>
      </c>
      <c r="B683" t="s">
        <v>14</v>
      </c>
      <c r="C683" t="s">
        <v>30</v>
      </c>
      <c r="D683" t="s">
        <v>182</v>
      </c>
      <c r="E683" t="str">
        <f>TRIM(RIGHT(Table1[[#This Row],[Location]],LEN(Table1[[#This Row],[Location]])-FIND(",",Table1[[#This Row],[Location]])))</f>
        <v>Tennessee</v>
      </c>
      <c r="F683" t="s">
        <v>991</v>
      </c>
      <c r="G683" t="s">
        <v>35</v>
      </c>
      <c r="H683" t="s">
        <v>26</v>
      </c>
      <c r="I683">
        <v>818919</v>
      </c>
      <c r="J683">
        <v>1987</v>
      </c>
      <c r="K683">
        <v>395852</v>
      </c>
      <c r="L683">
        <v>699064</v>
      </c>
      <c r="M683">
        <v>22</v>
      </c>
      <c r="N683">
        <v>6012.1024649999999</v>
      </c>
      <c r="O683" s="7">
        <f>IFERROR(Table1[[#This Row],[Clicks]]/Table1[[#This Row],[Impressions]],0)</f>
        <v>2.4263693967291025E-3</v>
      </c>
      <c r="P683" s="5">
        <f>IFERROR(Table1[[#This Row],[Total Conversions]]/Table1[[#This Row],[Clicks]],0)</f>
        <v>1.1071967790639155E-2</v>
      </c>
      <c r="Q683" s="10">
        <f>IFERROR(Table1[[#This Row],[Gross Cost]]/Table1[[#This Row],[Total Conversions]],0)</f>
        <v>273.27738477272726</v>
      </c>
      <c r="R683" s="10">
        <f>IFERROR(Table1[[#This Row],[Gross Cost]]/(Table1[[#This Row],[Impressions]]/1000),0)</f>
        <v>7.341510534008858</v>
      </c>
      <c r="S683" s="5">
        <f>IFERROR(Table1[[#This Row],[Viewable Impressions]]/Table1[[#This Row],[Measurable Impressions]],0)</f>
        <v>0.56626002769417394</v>
      </c>
      <c r="T683" s="10">
        <f>IFERROR(1000*Table1[[#This Row],[Gross Cost]]/Table1[[#This Row],[Viewable Impressions]],0)</f>
        <v>15.187753162798217</v>
      </c>
      <c r="U683" s="10"/>
    </row>
    <row r="684" spans="1:21" x14ac:dyDescent="0.2">
      <c r="A684" t="s">
        <v>295</v>
      </c>
      <c r="B684" t="s">
        <v>14</v>
      </c>
      <c r="C684" t="s">
        <v>15</v>
      </c>
      <c r="D684" t="s">
        <v>34</v>
      </c>
      <c r="E684" t="str">
        <f>TRIM(RIGHT(Table1[[#This Row],[Location]],LEN(Table1[[#This Row],[Location]])-FIND(",",Table1[[#This Row],[Location]])))</f>
        <v>Illinois</v>
      </c>
      <c r="F684" t="s">
        <v>296</v>
      </c>
      <c r="G684" t="s">
        <v>18</v>
      </c>
      <c r="H684" t="s">
        <v>26</v>
      </c>
      <c r="I684">
        <v>1100942</v>
      </c>
      <c r="J684">
        <v>2984</v>
      </c>
      <c r="K684">
        <v>629973</v>
      </c>
      <c r="L684">
        <v>1041225</v>
      </c>
      <c r="M684">
        <v>147</v>
      </c>
      <c r="N684">
        <v>7979.3485890000002</v>
      </c>
      <c r="O684" s="7">
        <f>IFERROR(Table1[[#This Row],[Clicks]]/Table1[[#This Row],[Impressions]],0)</f>
        <v>2.710406179435429E-3</v>
      </c>
      <c r="P684" s="5">
        <f>IFERROR(Table1[[#This Row],[Total Conversions]]/Table1[[#This Row],[Clicks]],0)</f>
        <v>4.92627345844504E-2</v>
      </c>
      <c r="Q684" s="10">
        <f>IFERROR(Table1[[#This Row],[Gross Cost]]/Table1[[#This Row],[Total Conversions]],0)</f>
        <v>54.281282918367346</v>
      </c>
      <c r="R684" s="10">
        <f>IFERROR(Table1[[#This Row],[Gross Cost]]/(Table1[[#This Row],[Impressions]]/1000),0)</f>
        <v>7.2477465561310224</v>
      </c>
      <c r="S684" s="5">
        <f>IFERROR(Table1[[#This Row],[Viewable Impressions]]/Table1[[#This Row],[Measurable Impressions]],0)</f>
        <v>0.60503061297990346</v>
      </c>
      <c r="T684" s="10">
        <f>IFERROR(1000*Table1[[#This Row],[Gross Cost]]/Table1[[#This Row],[Viewable Impressions]],0)</f>
        <v>12.66617551704597</v>
      </c>
      <c r="U684" s="10"/>
    </row>
    <row r="685" spans="1:21" x14ac:dyDescent="0.2">
      <c r="A685" t="s">
        <v>543</v>
      </c>
      <c r="B685" t="s">
        <v>60</v>
      </c>
      <c r="C685" t="s">
        <v>30</v>
      </c>
      <c r="D685" t="s">
        <v>34</v>
      </c>
      <c r="E685" t="str">
        <f>TRIM(RIGHT(Table1[[#This Row],[Location]],LEN(Table1[[#This Row],[Location]])-FIND(",",Table1[[#This Row],[Location]])))</f>
        <v>Illinois</v>
      </c>
      <c r="F685" t="s">
        <v>538</v>
      </c>
      <c r="G685" t="s">
        <v>35</v>
      </c>
      <c r="H685" t="s">
        <v>26</v>
      </c>
      <c r="I685">
        <v>1083050</v>
      </c>
      <c r="J685">
        <v>3984</v>
      </c>
      <c r="K685">
        <v>590156</v>
      </c>
      <c r="L685">
        <v>953556</v>
      </c>
      <c r="M685">
        <v>19</v>
      </c>
      <c r="N685">
        <v>7495.749847</v>
      </c>
      <c r="O685" s="7">
        <f>IFERROR(Table1[[#This Row],[Clicks]]/Table1[[#This Row],[Impressions]],0)</f>
        <v>3.6785005309080835E-3</v>
      </c>
      <c r="P685" s="5">
        <f>IFERROR(Table1[[#This Row],[Total Conversions]]/Table1[[#This Row],[Clicks]],0)</f>
        <v>4.7690763052208839E-3</v>
      </c>
      <c r="Q685" s="10">
        <f>IFERROR(Table1[[#This Row],[Gross Cost]]/Table1[[#This Row],[Total Conversions]],0)</f>
        <v>394.51314984210529</v>
      </c>
      <c r="R685" s="10">
        <f>IFERROR(Table1[[#This Row],[Gross Cost]]/(Table1[[#This Row],[Impressions]]/1000),0)</f>
        <v>6.9209638031485161</v>
      </c>
      <c r="S685" s="5">
        <f>IFERROR(Table1[[#This Row],[Viewable Impressions]]/Table1[[#This Row],[Measurable Impressions]],0)</f>
        <v>0.61890020093208997</v>
      </c>
      <c r="T685" s="10">
        <f>IFERROR(1000*Table1[[#This Row],[Gross Cost]]/Table1[[#This Row],[Viewable Impressions]],0)</f>
        <v>12.701302447149567</v>
      </c>
      <c r="U685" s="10"/>
    </row>
    <row r="686" spans="1:21" x14ac:dyDescent="0.2">
      <c r="A686" t="s">
        <v>998</v>
      </c>
      <c r="B686" t="s">
        <v>21</v>
      </c>
      <c r="C686" t="s">
        <v>15</v>
      </c>
      <c r="D686" t="s">
        <v>77</v>
      </c>
      <c r="E686" t="str">
        <f>TRIM(RIGHT(Table1[[#This Row],[Location]],LEN(Table1[[#This Row],[Location]])-FIND(",",Table1[[#This Row],[Location]])))</f>
        <v>New York</v>
      </c>
      <c r="F686" t="s">
        <v>991</v>
      </c>
      <c r="G686" t="s">
        <v>326</v>
      </c>
      <c r="H686" t="s">
        <v>26</v>
      </c>
      <c r="I686">
        <v>760502</v>
      </c>
      <c r="J686">
        <v>2140</v>
      </c>
      <c r="K686">
        <v>326721</v>
      </c>
      <c r="L686">
        <v>700814</v>
      </c>
      <c r="M686">
        <v>17</v>
      </c>
      <c r="N686">
        <v>5179.0415320000002</v>
      </c>
      <c r="O686" s="7">
        <f>IFERROR(Table1[[#This Row],[Clicks]]/Table1[[#This Row],[Impressions]],0)</f>
        <v>2.8139307983410956E-3</v>
      </c>
      <c r="P686" s="5">
        <f>IFERROR(Table1[[#This Row],[Total Conversions]]/Table1[[#This Row],[Clicks]],0)</f>
        <v>7.9439252336448597E-3</v>
      </c>
      <c r="Q686" s="10">
        <f>IFERROR(Table1[[#This Row],[Gross Cost]]/Table1[[#This Row],[Total Conversions]],0)</f>
        <v>304.64950188235298</v>
      </c>
      <c r="R686" s="10">
        <f>IFERROR(Table1[[#This Row],[Gross Cost]]/(Table1[[#This Row],[Impressions]]/1000),0)</f>
        <v>6.8100301274684361</v>
      </c>
      <c r="S686" s="5">
        <f>IFERROR(Table1[[#This Row],[Viewable Impressions]]/Table1[[#This Row],[Measurable Impressions]],0)</f>
        <v>0.46620215920344055</v>
      </c>
      <c r="T686" s="10">
        <f>IFERROR(1000*Table1[[#This Row],[Gross Cost]]/Table1[[#This Row],[Viewable Impressions]],0)</f>
        <v>15.851572234414073</v>
      </c>
      <c r="U686" s="10"/>
    </row>
    <row r="687" spans="1:21" x14ac:dyDescent="0.2">
      <c r="A687" t="s">
        <v>917</v>
      </c>
      <c r="B687" t="s">
        <v>14</v>
      </c>
      <c r="C687" t="s">
        <v>30</v>
      </c>
      <c r="D687" t="s">
        <v>16</v>
      </c>
      <c r="E687" t="str">
        <f>TRIM(RIGHT(Table1[[#This Row],[Location]],LEN(Table1[[#This Row],[Location]])-FIND(",",Table1[[#This Row],[Location]])))</f>
        <v>California</v>
      </c>
      <c r="F687" t="s">
        <v>918</v>
      </c>
      <c r="G687" t="s">
        <v>35</v>
      </c>
      <c r="H687" t="s">
        <v>26</v>
      </c>
      <c r="I687">
        <v>1109184</v>
      </c>
      <c r="J687">
        <v>3142</v>
      </c>
      <c r="K687">
        <v>83035</v>
      </c>
      <c r="L687">
        <v>782482</v>
      </c>
      <c r="M687">
        <v>25</v>
      </c>
      <c r="N687">
        <v>7490.8607789999996</v>
      </c>
      <c r="O687" s="7">
        <f>IFERROR(Table1[[#This Row],[Clicks]]/Table1[[#This Row],[Impressions]],0)</f>
        <v>2.8327130575269747E-3</v>
      </c>
      <c r="P687" s="5">
        <f>IFERROR(Table1[[#This Row],[Total Conversions]]/Table1[[#This Row],[Clicks]],0)</f>
        <v>7.9567154678548691E-3</v>
      </c>
      <c r="Q687" s="10">
        <f>IFERROR(Table1[[#This Row],[Gross Cost]]/Table1[[#This Row],[Total Conversions]],0)</f>
        <v>299.63443115999996</v>
      </c>
      <c r="R687" s="10">
        <f>IFERROR(Table1[[#This Row],[Gross Cost]]/(Table1[[#This Row],[Impressions]]/1000),0)</f>
        <v>6.7534879506015235</v>
      </c>
      <c r="S687" s="5">
        <f>IFERROR(Table1[[#This Row],[Viewable Impressions]]/Table1[[#This Row],[Measurable Impressions]],0)</f>
        <v>0.10611745701498565</v>
      </c>
      <c r="T687" s="10">
        <f>IFERROR(1000*Table1[[#This Row],[Gross Cost]]/Table1[[#This Row],[Viewable Impressions]],0)</f>
        <v>90.21329293671343</v>
      </c>
      <c r="U687" s="10"/>
    </row>
    <row r="688" spans="1:21" x14ac:dyDescent="0.2">
      <c r="A688" t="s">
        <v>841</v>
      </c>
      <c r="B688" t="s">
        <v>14</v>
      </c>
      <c r="C688" t="s">
        <v>41</v>
      </c>
      <c r="D688" t="s">
        <v>94</v>
      </c>
      <c r="E688" t="str">
        <f>TRIM(RIGHT(Table1[[#This Row],[Location]],LEN(Table1[[#This Row],[Location]])-FIND(",",Table1[[#This Row],[Location]])))</f>
        <v>Florida</v>
      </c>
      <c r="F688" t="s">
        <v>842</v>
      </c>
      <c r="G688" t="s">
        <v>160</v>
      </c>
      <c r="H688" t="s">
        <v>26</v>
      </c>
      <c r="I688">
        <v>217824</v>
      </c>
      <c r="J688">
        <v>560</v>
      </c>
      <c r="K688">
        <v>75089</v>
      </c>
      <c r="L688">
        <v>179723</v>
      </c>
      <c r="M688">
        <v>16</v>
      </c>
      <c r="N688">
        <v>1451.808544</v>
      </c>
      <c r="O688" s="7">
        <f>IFERROR(Table1[[#This Row],[Clicks]]/Table1[[#This Row],[Impressions]],0)</f>
        <v>2.5708829146466874E-3</v>
      </c>
      <c r="P688" s="5">
        <f>IFERROR(Table1[[#This Row],[Total Conversions]]/Table1[[#This Row],[Clicks]],0)</f>
        <v>2.8571428571428571E-2</v>
      </c>
      <c r="Q688" s="10">
        <f>IFERROR(Table1[[#This Row],[Gross Cost]]/Table1[[#This Row],[Total Conversions]],0)</f>
        <v>90.738033999999999</v>
      </c>
      <c r="R688" s="10">
        <f>IFERROR(Table1[[#This Row],[Gross Cost]]/(Table1[[#This Row],[Impressions]]/1000),0)</f>
        <v>6.6650531805494335</v>
      </c>
      <c r="S688" s="5">
        <f>IFERROR(Table1[[#This Row],[Viewable Impressions]]/Table1[[#This Row],[Measurable Impressions]],0)</f>
        <v>0.41780406514469487</v>
      </c>
      <c r="T688" s="10">
        <f>IFERROR(1000*Table1[[#This Row],[Gross Cost]]/Table1[[#This Row],[Viewable Impressions]],0)</f>
        <v>19.334503642344419</v>
      </c>
      <c r="U688" s="10"/>
    </row>
    <row r="689" spans="1:21" x14ac:dyDescent="0.2">
      <c r="A689" t="s">
        <v>613</v>
      </c>
      <c r="B689" t="s">
        <v>21</v>
      </c>
      <c r="C689" t="s">
        <v>15</v>
      </c>
      <c r="D689" t="s">
        <v>54</v>
      </c>
      <c r="E689" t="str">
        <f>TRIM(RIGHT(Table1[[#This Row],[Location]],LEN(Table1[[#This Row],[Location]])-FIND(",",Table1[[#This Row],[Location]])))</f>
        <v>Florida</v>
      </c>
      <c r="F689" t="s">
        <v>611</v>
      </c>
      <c r="G689" t="s">
        <v>18</v>
      </c>
      <c r="H689" t="s">
        <v>26</v>
      </c>
      <c r="I689">
        <v>1222302</v>
      </c>
      <c r="J689">
        <v>3142</v>
      </c>
      <c r="K689">
        <v>553773</v>
      </c>
      <c r="L689">
        <v>1120128</v>
      </c>
      <c r="M689">
        <v>42</v>
      </c>
      <c r="N689">
        <v>7880.7704059999996</v>
      </c>
      <c r="O689" s="7">
        <f>IFERROR(Table1[[#This Row],[Clicks]]/Table1[[#This Row],[Impressions]],0)</f>
        <v>2.5705594852990505E-3</v>
      </c>
      <c r="P689" s="5">
        <f>IFERROR(Table1[[#This Row],[Total Conversions]]/Table1[[#This Row],[Clicks]],0)</f>
        <v>1.336728198599618E-2</v>
      </c>
      <c r="Q689" s="10">
        <f>IFERROR(Table1[[#This Row],[Gross Cost]]/Table1[[#This Row],[Total Conversions]],0)</f>
        <v>187.63739061904761</v>
      </c>
      <c r="R689" s="10">
        <f>IFERROR(Table1[[#This Row],[Gross Cost]]/(Table1[[#This Row],[Impressions]]/1000),0)</f>
        <v>6.4474822147063495</v>
      </c>
      <c r="S689" s="5">
        <f>IFERROR(Table1[[#This Row],[Viewable Impressions]]/Table1[[#This Row],[Measurable Impressions]],0)</f>
        <v>0.49438367757970519</v>
      </c>
      <c r="T689" s="10">
        <f>IFERROR(1000*Table1[[#This Row],[Gross Cost]]/Table1[[#This Row],[Viewable Impressions]],0)</f>
        <v>14.231048472930244</v>
      </c>
      <c r="U689" s="10"/>
    </row>
    <row r="690" spans="1:21" x14ac:dyDescent="0.2">
      <c r="A690" t="s">
        <v>325</v>
      </c>
      <c r="B690" t="s">
        <v>14</v>
      </c>
      <c r="C690" t="s">
        <v>22</v>
      </c>
      <c r="D690" t="s">
        <v>34</v>
      </c>
      <c r="E690" t="str">
        <f>TRIM(RIGHT(Table1[[#This Row],[Location]],LEN(Table1[[#This Row],[Location]])-FIND(",",Table1[[#This Row],[Location]])))</f>
        <v>Illinois</v>
      </c>
      <c r="F690" t="s">
        <v>296</v>
      </c>
      <c r="G690" t="s">
        <v>326</v>
      </c>
      <c r="H690" t="s">
        <v>26</v>
      </c>
      <c r="I690">
        <v>229908</v>
      </c>
      <c r="J690">
        <v>489</v>
      </c>
      <c r="K690">
        <v>98259</v>
      </c>
      <c r="L690">
        <v>212073</v>
      </c>
      <c r="M690">
        <v>4</v>
      </c>
      <c r="N690">
        <v>1464.3489440000001</v>
      </c>
      <c r="O690" s="7">
        <f>IFERROR(Table1[[#This Row],[Clicks]]/Table1[[#This Row],[Impressions]],0)</f>
        <v>2.1269377316143847E-3</v>
      </c>
      <c r="P690" s="5">
        <f>IFERROR(Table1[[#This Row],[Total Conversions]]/Table1[[#This Row],[Clicks]],0)</f>
        <v>8.1799591002044997E-3</v>
      </c>
      <c r="Q690" s="10">
        <f>IFERROR(Table1[[#This Row],[Gross Cost]]/Table1[[#This Row],[Total Conversions]],0)</f>
        <v>366.08723600000002</v>
      </c>
      <c r="R690" s="10">
        <f>IFERROR(Table1[[#This Row],[Gross Cost]]/(Table1[[#This Row],[Impressions]]/1000),0)</f>
        <v>6.3692822520312475</v>
      </c>
      <c r="S690" s="5">
        <f>IFERROR(Table1[[#This Row],[Viewable Impressions]]/Table1[[#This Row],[Measurable Impressions]],0)</f>
        <v>0.46332630745073633</v>
      </c>
      <c r="T690" s="10">
        <f>IFERROR(1000*Table1[[#This Row],[Gross Cost]]/Table1[[#This Row],[Viewable Impressions]],0)</f>
        <v>14.902949795947446</v>
      </c>
      <c r="U690" s="10"/>
    </row>
    <row r="691" spans="1:21" x14ac:dyDescent="0.2">
      <c r="A691" t="s">
        <v>593</v>
      </c>
      <c r="B691" t="s">
        <v>14</v>
      </c>
      <c r="C691" t="s">
        <v>41</v>
      </c>
      <c r="D691" t="s">
        <v>28</v>
      </c>
      <c r="E691" t="str">
        <f>TRIM(RIGHT(Table1[[#This Row],[Location]],LEN(Table1[[#This Row],[Location]])-FIND(",",Table1[[#This Row],[Location]])))</f>
        <v>California</v>
      </c>
      <c r="F691" t="s">
        <v>589</v>
      </c>
      <c r="G691" t="s">
        <v>230</v>
      </c>
      <c r="H691" t="s">
        <v>26</v>
      </c>
      <c r="I691">
        <v>292578</v>
      </c>
      <c r="J691">
        <v>812</v>
      </c>
      <c r="K691">
        <v>6474</v>
      </c>
      <c r="L691">
        <v>12323</v>
      </c>
      <c r="M691">
        <v>4</v>
      </c>
      <c r="N691">
        <v>1826.3187379999999</v>
      </c>
      <c r="O691" s="7">
        <f>IFERROR(Table1[[#This Row],[Clicks]]/Table1[[#This Row],[Impressions]],0)</f>
        <v>2.7753282885247693E-3</v>
      </c>
      <c r="P691" s="5">
        <f>IFERROR(Table1[[#This Row],[Total Conversions]]/Table1[[#This Row],[Clicks]],0)</f>
        <v>4.9261083743842365E-3</v>
      </c>
      <c r="Q691" s="10">
        <f>IFERROR(Table1[[#This Row],[Gross Cost]]/Table1[[#This Row],[Total Conversions]],0)</f>
        <v>456.57968449999998</v>
      </c>
      <c r="R691" s="10">
        <f>IFERROR(Table1[[#This Row],[Gross Cost]]/(Table1[[#This Row],[Impressions]]/1000),0)</f>
        <v>6.242160169254011</v>
      </c>
      <c r="S691" s="5">
        <f>IFERROR(Table1[[#This Row],[Viewable Impressions]]/Table1[[#This Row],[Measurable Impressions]],0)</f>
        <v>0.52535908463848091</v>
      </c>
      <c r="T691" s="10">
        <f>IFERROR(1000*Table1[[#This Row],[Gross Cost]]/Table1[[#This Row],[Viewable Impressions]],0)</f>
        <v>282.10051560086498</v>
      </c>
      <c r="U691" s="10"/>
    </row>
    <row r="692" spans="1:21" x14ac:dyDescent="0.2">
      <c r="A692" t="s">
        <v>537</v>
      </c>
      <c r="B692" t="s">
        <v>21</v>
      </c>
      <c r="C692" t="s">
        <v>41</v>
      </c>
      <c r="D692" t="s">
        <v>34</v>
      </c>
      <c r="E692" t="str">
        <f>TRIM(RIGHT(Table1[[#This Row],[Location]],LEN(Table1[[#This Row],[Location]])-FIND(",",Table1[[#This Row],[Location]])))</f>
        <v>Illinois</v>
      </c>
      <c r="F692" t="s">
        <v>538</v>
      </c>
      <c r="G692" t="s">
        <v>32</v>
      </c>
      <c r="H692" t="s">
        <v>26</v>
      </c>
      <c r="I692">
        <v>1323451</v>
      </c>
      <c r="J692">
        <v>3414</v>
      </c>
      <c r="K692">
        <v>737990</v>
      </c>
      <c r="L692">
        <v>1177859</v>
      </c>
      <c r="M692">
        <v>123</v>
      </c>
      <c r="N692">
        <v>8187.1145409999999</v>
      </c>
      <c r="O692" s="7">
        <f>IFERROR(Table1[[#This Row],[Clicks]]/Table1[[#This Row],[Impressions]],0)</f>
        <v>2.5796194947905137E-3</v>
      </c>
      <c r="P692" s="5">
        <f>IFERROR(Table1[[#This Row],[Total Conversions]]/Table1[[#This Row],[Clicks]],0)</f>
        <v>3.6028119507908608E-2</v>
      </c>
      <c r="Q692" s="10">
        <f>IFERROR(Table1[[#This Row],[Gross Cost]]/Table1[[#This Row],[Total Conversions]],0)</f>
        <v>66.561906837398368</v>
      </c>
      <c r="R692" s="10">
        <f>IFERROR(Table1[[#This Row],[Gross Cost]]/(Table1[[#This Row],[Impressions]]/1000),0)</f>
        <v>6.1861863725970965</v>
      </c>
      <c r="S692" s="5">
        <f>IFERROR(Table1[[#This Row],[Viewable Impressions]]/Table1[[#This Row],[Measurable Impressions]],0)</f>
        <v>0.62655207456919715</v>
      </c>
      <c r="T692" s="10">
        <f>IFERROR(1000*Table1[[#This Row],[Gross Cost]]/Table1[[#This Row],[Viewable Impressions]],0)</f>
        <v>11.093801462079432</v>
      </c>
      <c r="U692" s="10"/>
    </row>
    <row r="693" spans="1:21" x14ac:dyDescent="0.2">
      <c r="A693" t="s">
        <v>950</v>
      </c>
      <c r="B693" t="s">
        <v>21</v>
      </c>
      <c r="C693" t="s">
        <v>22</v>
      </c>
      <c r="D693" t="s">
        <v>172</v>
      </c>
      <c r="E693" t="str">
        <f>TRIM(RIGHT(Table1[[#This Row],[Location]],LEN(Table1[[#This Row],[Location]])-FIND(",",Table1[[#This Row],[Location]])))</f>
        <v>Tennessee</v>
      </c>
      <c r="F693" t="s">
        <v>918</v>
      </c>
      <c r="G693" t="s">
        <v>18</v>
      </c>
      <c r="H693" t="s">
        <v>26</v>
      </c>
      <c r="I693">
        <v>254780</v>
      </c>
      <c r="J693">
        <v>699</v>
      </c>
      <c r="K693">
        <v>19169</v>
      </c>
      <c r="L693">
        <v>182583</v>
      </c>
      <c r="M693">
        <v>4</v>
      </c>
      <c r="N693">
        <v>1561.021915</v>
      </c>
      <c r="O693" s="7">
        <f>IFERROR(Table1[[#This Row],[Clicks]]/Table1[[#This Row],[Impressions]],0)</f>
        <v>2.7435434492503337E-3</v>
      </c>
      <c r="P693" s="5">
        <f>IFERROR(Table1[[#This Row],[Total Conversions]]/Table1[[#This Row],[Clicks]],0)</f>
        <v>5.7224606580829757E-3</v>
      </c>
      <c r="Q693" s="10">
        <f>IFERROR(Table1[[#This Row],[Gross Cost]]/Table1[[#This Row],[Total Conversions]],0)</f>
        <v>390.25547875000001</v>
      </c>
      <c r="R693" s="10">
        <f>IFERROR(Table1[[#This Row],[Gross Cost]]/(Table1[[#This Row],[Impressions]]/1000),0)</f>
        <v>6.1269405565585995</v>
      </c>
      <c r="S693" s="5">
        <f>IFERROR(Table1[[#This Row],[Viewable Impressions]]/Table1[[#This Row],[Measurable Impressions]],0)</f>
        <v>0.10498786853102425</v>
      </c>
      <c r="T693" s="10">
        <f>IFERROR(1000*Table1[[#This Row],[Gross Cost]]/Table1[[#This Row],[Viewable Impressions]],0)</f>
        <v>81.434707861651631</v>
      </c>
      <c r="U693" s="10"/>
    </row>
    <row r="694" spans="1:21" x14ac:dyDescent="0.2">
      <c r="A694" t="s">
        <v>993</v>
      </c>
      <c r="B694" t="s">
        <v>14</v>
      </c>
      <c r="C694" t="s">
        <v>22</v>
      </c>
      <c r="D694" t="s">
        <v>77</v>
      </c>
      <c r="E694" t="str">
        <f>TRIM(RIGHT(Table1[[#This Row],[Location]],LEN(Table1[[#This Row],[Location]])-FIND(",",Table1[[#This Row],[Location]])))</f>
        <v>New York</v>
      </c>
      <c r="F694" t="s">
        <v>991</v>
      </c>
      <c r="G694" t="s">
        <v>18</v>
      </c>
      <c r="H694" t="s">
        <v>26</v>
      </c>
      <c r="I694">
        <v>1221746</v>
      </c>
      <c r="J694">
        <v>3874</v>
      </c>
      <c r="K694">
        <v>512107</v>
      </c>
      <c r="L694">
        <v>1088748</v>
      </c>
      <c r="M694">
        <v>19</v>
      </c>
      <c r="N694">
        <v>7483.8871870000003</v>
      </c>
      <c r="O694" s="7">
        <f>IFERROR(Table1[[#This Row],[Clicks]]/Table1[[#This Row],[Impressions]],0)</f>
        <v>3.1708718506137938E-3</v>
      </c>
      <c r="P694" s="5">
        <f>IFERROR(Table1[[#This Row],[Total Conversions]]/Table1[[#This Row],[Clicks]],0)</f>
        <v>4.90449148167269E-3</v>
      </c>
      <c r="Q694" s="10">
        <f>IFERROR(Table1[[#This Row],[Gross Cost]]/Table1[[#This Row],[Total Conversions]],0)</f>
        <v>393.88879931578947</v>
      </c>
      <c r="R694" s="10">
        <f>IFERROR(Table1[[#This Row],[Gross Cost]]/(Table1[[#This Row],[Impressions]]/1000),0)</f>
        <v>6.125567169444385</v>
      </c>
      <c r="S694" s="5">
        <f>IFERROR(Table1[[#This Row],[Viewable Impressions]]/Table1[[#This Row],[Measurable Impressions]],0)</f>
        <v>0.47036320617810551</v>
      </c>
      <c r="T694" s="10">
        <f>IFERROR(1000*Table1[[#This Row],[Gross Cost]]/Table1[[#This Row],[Viewable Impressions]],0)</f>
        <v>14.613913082617501</v>
      </c>
      <c r="U694" s="10"/>
    </row>
    <row r="695" spans="1:21" x14ac:dyDescent="0.2">
      <c r="A695" t="s">
        <v>954</v>
      </c>
      <c r="B695" t="s">
        <v>14</v>
      </c>
      <c r="C695" t="s">
        <v>15</v>
      </c>
      <c r="D695" t="s">
        <v>54</v>
      </c>
      <c r="E695" t="str">
        <f>TRIM(RIGHT(Table1[[#This Row],[Location]],LEN(Table1[[#This Row],[Location]])-FIND(",",Table1[[#This Row],[Location]])))</f>
        <v>Florida</v>
      </c>
      <c r="F695" t="s">
        <v>918</v>
      </c>
      <c r="G695" t="s">
        <v>135</v>
      </c>
      <c r="H695" t="s">
        <v>26</v>
      </c>
      <c r="I695">
        <v>253577</v>
      </c>
      <c r="J695">
        <v>890</v>
      </c>
      <c r="K695">
        <v>66972</v>
      </c>
      <c r="L695">
        <v>191183</v>
      </c>
      <c r="M695">
        <v>44</v>
      </c>
      <c r="N695">
        <v>1493.074494</v>
      </c>
      <c r="O695" s="7">
        <f>IFERROR(Table1[[#This Row],[Clicks]]/Table1[[#This Row],[Impressions]],0)</f>
        <v>3.509782038591828E-3</v>
      </c>
      <c r="P695" s="5">
        <f>IFERROR(Table1[[#This Row],[Total Conversions]]/Table1[[#This Row],[Clicks]],0)</f>
        <v>4.9438202247191011E-2</v>
      </c>
      <c r="Q695" s="10">
        <f>IFERROR(Table1[[#This Row],[Gross Cost]]/Table1[[#This Row],[Total Conversions]],0)</f>
        <v>33.933511227272724</v>
      </c>
      <c r="R695" s="10">
        <f>IFERROR(Table1[[#This Row],[Gross Cost]]/(Table1[[#This Row],[Impressions]]/1000),0)</f>
        <v>5.8880517318211032</v>
      </c>
      <c r="S695" s="5">
        <f>IFERROR(Table1[[#This Row],[Viewable Impressions]]/Table1[[#This Row],[Measurable Impressions]],0)</f>
        <v>0.35030311272445774</v>
      </c>
      <c r="T695" s="10">
        <f>IFERROR(1000*Table1[[#This Row],[Gross Cost]]/Table1[[#This Row],[Viewable Impressions]],0)</f>
        <v>22.294010840351191</v>
      </c>
      <c r="U695" s="10"/>
    </row>
    <row r="696" spans="1:21" x14ac:dyDescent="0.2">
      <c r="A696" t="s">
        <v>550</v>
      </c>
      <c r="B696" t="s">
        <v>14</v>
      </c>
      <c r="C696" t="s">
        <v>22</v>
      </c>
      <c r="D696" t="s">
        <v>16</v>
      </c>
      <c r="E696" t="str">
        <f>TRIM(RIGHT(Table1[[#This Row],[Location]],LEN(Table1[[#This Row],[Location]])-FIND(",",Table1[[#This Row],[Location]])))</f>
        <v>California</v>
      </c>
      <c r="F696" t="s">
        <v>538</v>
      </c>
      <c r="G696" t="s">
        <v>79</v>
      </c>
      <c r="H696" t="s">
        <v>26</v>
      </c>
      <c r="I696">
        <v>908899</v>
      </c>
      <c r="J696">
        <v>1984</v>
      </c>
      <c r="K696">
        <v>644697</v>
      </c>
      <c r="L696">
        <v>853964</v>
      </c>
      <c r="M696">
        <v>32</v>
      </c>
      <c r="N696">
        <v>5181.087383</v>
      </c>
      <c r="O696" s="7">
        <f>IFERROR(Table1[[#This Row],[Clicks]]/Table1[[#This Row],[Impressions]],0)</f>
        <v>2.1828608019152842E-3</v>
      </c>
      <c r="P696" s="5">
        <f>IFERROR(Table1[[#This Row],[Total Conversions]]/Table1[[#This Row],[Clicks]],0)</f>
        <v>1.6129032258064516E-2</v>
      </c>
      <c r="Q696" s="10">
        <f>IFERROR(Table1[[#This Row],[Gross Cost]]/Table1[[#This Row],[Total Conversions]],0)</f>
        <v>161.90898071875</v>
      </c>
      <c r="R696" s="10">
        <f>IFERROR(Table1[[#This Row],[Gross Cost]]/(Table1[[#This Row],[Impressions]]/1000),0)</f>
        <v>5.7003994756293057</v>
      </c>
      <c r="S696" s="5">
        <f>IFERROR(Table1[[#This Row],[Viewable Impressions]]/Table1[[#This Row],[Measurable Impressions]],0)</f>
        <v>0.7549463443423845</v>
      </c>
      <c r="T696" s="10">
        <f>IFERROR(1000*Table1[[#This Row],[Gross Cost]]/Table1[[#This Row],[Viewable Impressions]],0)</f>
        <v>8.036468888485599</v>
      </c>
      <c r="U696" s="10"/>
    </row>
    <row r="697" spans="1:21" x14ac:dyDescent="0.2">
      <c r="A697" t="s">
        <v>711</v>
      </c>
      <c r="B697" t="s">
        <v>14</v>
      </c>
      <c r="C697" t="s">
        <v>22</v>
      </c>
      <c r="D697" t="s">
        <v>28</v>
      </c>
      <c r="E697" t="str">
        <f>TRIM(RIGHT(Table1[[#This Row],[Location]],LEN(Table1[[#This Row],[Location]])-FIND(",",Table1[[#This Row],[Location]])))</f>
        <v>California</v>
      </c>
      <c r="F697" t="s">
        <v>701</v>
      </c>
      <c r="G697" t="s">
        <v>18</v>
      </c>
      <c r="H697" t="s">
        <v>26</v>
      </c>
      <c r="I697">
        <v>284783</v>
      </c>
      <c r="J697">
        <v>756</v>
      </c>
      <c r="K697">
        <v>239363</v>
      </c>
      <c r="L697">
        <v>261467</v>
      </c>
      <c r="M697">
        <v>9</v>
      </c>
      <c r="N697">
        <v>1605.5380720000001</v>
      </c>
      <c r="O697" s="7">
        <f>IFERROR(Table1[[#This Row],[Clicks]]/Table1[[#This Row],[Impressions]],0)</f>
        <v>2.6546528409350277E-3</v>
      </c>
      <c r="P697" s="5">
        <f>IFERROR(Table1[[#This Row],[Total Conversions]]/Table1[[#This Row],[Clicks]],0)</f>
        <v>1.1904761904761904E-2</v>
      </c>
      <c r="Q697" s="10">
        <f>IFERROR(Table1[[#This Row],[Gross Cost]]/Table1[[#This Row],[Total Conversions]],0)</f>
        <v>178.3931191111111</v>
      </c>
      <c r="R697" s="10">
        <f>IFERROR(Table1[[#This Row],[Gross Cost]]/(Table1[[#This Row],[Impressions]]/1000),0)</f>
        <v>5.6377595291853799</v>
      </c>
      <c r="S697" s="5">
        <f>IFERROR(Table1[[#This Row],[Viewable Impressions]]/Table1[[#This Row],[Measurable Impressions]],0)</f>
        <v>0.91546160700968005</v>
      </c>
      <c r="T697" s="10">
        <f>IFERROR(1000*Table1[[#This Row],[Gross Cost]]/Table1[[#This Row],[Viewable Impressions]],0)</f>
        <v>6.7075449087787176</v>
      </c>
      <c r="U697" s="10"/>
    </row>
    <row r="698" spans="1:21" x14ac:dyDescent="0.2">
      <c r="A698" t="s">
        <v>1016</v>
      </c>
      <c r="B698" t="s">
        <v>21</v>
      </c>
      <c r="C698" t="s">
        <v>41</v>
      </c>
      <c r="D698" t="s">
        <v>54</v>
      </c>
      <c r="E698" t="str">
        <f>TRIM(RIGHT(Table1[[#This Row],[Location]],LEN(Table1[[#This Row],[Location]])-FIND(",",Table1[[#This Row],[Location]])))</f>
        <v>Florida</v>
      </c>
      <c r="F698" t="s">
        <v>991</v>
      </c>
      <c r="G698" t="s">
        <v>18</v>
      </c>
      <c r="H698" t="s">
        <v>26</v>
      </c>
      <c r="I698">
        <v>263752</v>
      </c>
      <c r="J698">
        <v>702</v>
      </c>
      <c r="K698">
        <v>127042</v>
      </c>
      <c r="L698">
        <v>225121</v>
      </c>
      <c r="M698">
        <v>4</v>
      </c>
      <c r="N698">
        <v>1465.5147099999999</v>
      </c>
      <c r="O698" s="7">
        <f>IFERROR(Table1[[#This Row],[Clicks]]/Table1[[#This Row],[Impressions]],0)</f>
        <v>2.6615911917255604E-3</v>
      </c>
      <c r="P698" s="5">
        <f>IFERROR(Table1[[#This Row],[Total Conversions]]/Table1[[#This Row],[Clicks]],0)</f>
        <v>5.6980056980056983E-3</v>
      </c>
      <c r="Q698" s="10">
        <f>IFERROR(Table1[[#This Row],[Gross Cost]]/Table1[[#This Row],[Total Conversions]],0)</f>
        <v>366.37867749999998</v>
      </c>
      <c r="R698" s="10">
        <f>IFERROR(Table1[[#This Row],[Gross Cost]]/(Table1[[#This Row],[Impressions]]/1000),0)</f>
        <v>5.5564117428493427</v>
      </c>
      <c r="S698" s="5">
        <f>IFERROR(Table1[[#This Row],[Viewable Impressions]]/Table1[[#This Row],[Measurable Impressions]],0)</f>
        <v>0.56432762825325045</v>
      </c>
      <c r="T698" s="10">
        <f>IFERROR(1000*Table1[[#This Row],[Gross Cost]]/Table1[[#This Row],[Viewable Impressions]],0)</f>
        <v>11.535670959210339</v>
      </c>
      <c r="U698" s="10"/>
    </row>
    <row r="699" spans="1:21" x14ac:dyDescent="0.2">
      <c r="A699" t="s">
        <v>1035</v>
      </c>
      <c r="B699" t="s">
        <v>21</v>
      </c>
      <c r="C699" t="s">
        <v>15</v>
      </c>
      <c r="D699" t="s">
        <v>83</v>
      </c>
      <c r="E699" t="str">
        <f>TRIM(RIGHT(Table1[[#This Row],[Location]],LEN(Table1[[#This Row],[Location]])-FIND(",",Table1[[#This Row],[Location]])))</f>
        <v>Florida</v>
      </c>
      <c r="F699" t="s">
        <v>1031</v>
      </c>
      <c r="G699" t="s">
        <v>18</v>
      </c>
      <c r="H699" t="s">
        <v>26</v>
      </c>
      <c r="I699">
        <v>304377</v>
      </c>
      <c r="J699">
        <v>801</v>
      </c>
      <c r="K699">
        <v>27519</v>
      </c>
      <c r="L699">
        <v>270098</v>
      </c>
      <c r="M699">
        <v>63</v>
      </c>
      <c r="N699">
        <v>1595.48714</v>
      </c>
      <c r="O699" s="7">
        <f>IFERROR(Table1[[#This Row],[Clicks]]/Table1[[#This Row],[Impressions]],0)</f>
        <v>2.6316048847317636E-3</v>
      </c>
      <c r="P699" s="5">
        <f>IFERROR(Table1[[#This Row],[Total Conversions]]/Table1[[#This Row],[Clicks]],0)</f>
        <v>7.8651685393258425E-2</v>
      </c>
      <c r="Q699" s="10">
        <f>IFERROR(Table1[[#This Row],[Gross Cost]]/Table1[[#This Row],[Total Conversions]],0)</f>
        <v>25.325192698412696</v>
      </c>
      <c r="R699" s="10">
        <f>IFERROR(Table1[[#This Row],[Gross Cost]]/(Table1[[#This Row],[Impressions]]/1000),0)</f>
        <v>5.2418124234091268</v>
      </c>
      <c r="S699" s="5">
        <f>IFERROR(Table1[[#This Row],[Viewable Impressions]]/Table1[[#This Row],[Measurable Impressions]],0)</f>
        <v>0.10188524165302965</v>
      </c>
      <c r="T699" s="10">
        <f>IFERROR(1000*Table1[[#This Row],[Gross Cost]]/Table1[[#This Row],[Viewable Impressions]],0)</f>
        <v>57.977656891602159</v>
      </c>
      <c r="U699" s="10"/>
    </row>
    <row r="700" spans="1:21" x14ac:dyDescent="0.2">
      <c r="A700" t="s">
        <v>615</v>
      </c>
      <c r="B700" t="s">
        <v>21</v>
      </c>
      <c r="C700" t="s">
        <v>41</v>
      </c>
      <c r="D700" t="s">
        <v>16</v>
      </c>
      <c r="E700" t="str">
        <f>TRIM(RIGHT(Table1[[#This Row],[Location]],LEN(Table1[[#This Row],[Location]])-FIND(",",Table1[[#This Row],[Location]])))</f>
        <v>California</v>
      </c>
      <c r="F700" t="s">
        <v>611</v>
      </c>
      <c r="G700" t="s">
        <v>18</v>
      </c>
      <c r="H700" t="s">
        <v>26</v>
      </c>
      <c r="I700">
        <v>1515751</v>
      </c>
      <c r="J700">
        <v>3874</v>
      </c>
      <c r="K700">
        <v>1151776</v>
      </c>
      <c r="L700">
        <v>1396230</v>
      </c>
      <c r="M700">
        <v>49</v>
      </c>
      <c r="N700">
        <v>7850.6442440000001</v>
      </c>
      <c r="O700" s="7">
        <f>IFERROR(Table1[[#This Row],[Clicks]]/Table1[[#This Row],[Impressions]],0)</f>
        <v>2.555828760792505E-3</v>
      </c>
      <c r="P700" s="5">
        <f>IFERROR(Table1[[#This Row],[Total Conversions]]/Table1[[#This Row],[Clicks]],0)</f>
        <v>1.2648425400103252E-2</v>
      </c>
      <c r="Q700" s="10">
        <f>IFERROR(Table1[[#This Row],[Gross Cost]]/Table1[[#This Row],[Total Conversions]],0)</f>
        <v>160.21722946938775</v>
      </c>
      <c r="R700" s="10">
        <f>IFERROR(Table1[[#This Row],[Gross Cost]]/(Table1[[#This Row],[Impressions]]/1000),0)</f>
        <v>5.1793759291598684</v>
      </c>
      <c r="S700" s="5">
        <f>IFERROR(Table1[[#This Row],[Viewable Impressions]]/Table1[[#This Row],[Measurable Impressions]],0)</f>
        <v>0.82491853061458353</v>
      </c>
      <c r="T700" s="10">
        <f>IFERROR(1000*Table1[[#This Row],[Gross Cost]]/Table1[[#This Row],[Viewable Impressions]],0)</f>
        <v>6.8161207074986798</v>
      </c>
      <c r="U700" s="10"/>
    </row>
    <row r="701" spans="1:21" x14ac:dyDescent="0.2">
      <c r="A701" t="s">
        <v>953</v>
      </c>
      <c r="B701" t="s">
        <v>21</v>
      </c>
      <c r="C701" t="s">
        <v>22</v>
      </c>
      <c r="D701" t="s">
        <v>28</v>
      </c>
      <c r="E701" t="str">
        <f>TRIM(RIGHT(Table1[[#This Row],[Location]],LEN(Table1[[#This Row],[Location]])-FIND(",",Table1[[#This Row],[Location]])))</f>
        <v>California</v>
      </c>
      <c r="F701" t="s">
        <v>918</v>
      </c>
      <c r="G701" t="s">
        <v>18</v>
      </c>
      <c r="H701" t="s">
        <v>26</v>
      </c>
      <c r="I701">
        <v>292885</v>
      </c>
      <c r="J701">
        <v>796</v>
      </c>
      <c r="K701">
        <v>12733</v>
      </c>
      <c r="L701">
        <v>203986</v>
      </c>
      <c r="M701">
        <v>4</v>
      </c>
      <c r="N701">
        <v>1503.9130540000001</v>
      </c>
      <c r="O701" s="7">
        <f>IFERROR(Table1[[#This Row],[Clicks]]/Table1[[#This Row],[Impressions]],0)</f>
        <v>2.7177902589753658E-3</v>
      </c>
      <c r="P701" s="5">
        <f>IFERROR(Table1[[#This Row],[Total Conversions]]/Table1[[#This Row],[Clicks]],0)</f>
        <v>5.0251256281407036E-3</v>
      </c>
      <c r="Q701" s="10">
        <f>IFERROR(Table1[[#This Row],[Gross Cost]]/Table1[[#This Row],[Total Conversions]],0)</f>
        <v>375.97826350000003</v>
      </c>
      <c r="R701" s="10">
        <f>IFERROR(Table1[[#This Row],[Gross Cost]]/(Table1[[#This Row],[Impressions]]/1000),0)</f>
        <v>5.1348244327978563</v>
      </c>
      <c r="S701" s="5">
        <f>IFERROR(Table1[[#This Row],[Viewable Impressions]]/Table1[[#This Row],[Measurable Impressions]],0)</f>
        <v>6.2420950457384328E-2</v>
      </c>
      <c r="T701" s="10">
        <f>IFERROR(1000*Table1[[#This Row],[Gross Cost]]/Table1[[#This Row],[Viewable Impressions]],0)</f>
        <v>118.11144694887301</v>
      </c>
      <c r="U701" s="10"/>
    </row>
    <row r="702" spans="1:21" x14ac:dyDescent="0.2">
      <c r="A702" t="s">
        <v>1012</v>
      </c>
      <c r="B702" t="s">
        <v>14</v>
      </c>
      <c r="C702" t="s">
        <v>41</v>
      </c>
      <c r="D702" t="s">
        <v>397</v>
      </c>
      <c r="E702" t="str">
        <f>TRIM(RIGHT(Table1[[#This Row],[Location]],LEN(Table1[[#This Row],[Location]])-FIND(",",Table1[[#This Row],[Location]])))</f>
        <v>Indiana</v>
      </c>
      <c r="F702" t="s">
        <v>991</v>
      </c>
      <c r="G702" t="s">
        <v>45</v>
      </c>
      <c r="H702" t="s">
        <v>51</v>
      </c>
      <c r="I702">
        <v>307888</v>
      </c>
      <c r="J702">
        <v>863</v>
      </c>
      <c r="K702">
        <v>134959</v>
      </c>
      <c r="L702">
        <v>274790</v>
      </c>
      <c r="M702">
        <v>11</v>
      </c>
      <c r="N702">
        <v>1559.643865</v>
      </c>
      <c r="O702" s="7">
        <f>IFERROR(Table1[[#This Row],[Clicks]]/Table1[[#This Row],[Impressions]],0)</f>
        <v>2.8029673127890663E-3</v>
      </c>
      <c r="P702" s="5">
        <f>IFERROR(Table1[[#This Row],[Total Conversions]]/Table1[[#This Row],[Clicks]],0)</f>
        <v>1.2746234067207415E-2</v>
      </c>
      <c r="Q702" s="10">
        <f>IFERROR(Table1[[#This Row],[Gross Cost]]/Table1[[#This Row],[Total Conversions]],0)</f>
        <v>141.7858059090909</v>
      </c>
      <c r="R702" s="10">
        <f>IFERROR(Table1[[#This Row],[Gross Cost]]/(Table1[[#This Row],[Impressions]]/1000),0)</f>
        <v>5.0656208264044071</v>
      </c>
      <c r="S702" s="5">
        <f>IFERROR(Table1[[#This Row],[Viewable Impressions]]/Table1[[#This Row],[Measurable Impressions]],0)</f>
        <v>0.49113504858255397</v>
      </c>
      <c r="T702" s="10">
        <f>IFERROR(1000*Table1[[#This Row],[Gross Cost]]/Table1[[#This Row],[Viewable Impressions]],0)</f>
        <v>11.556427248275401</v>
      </c>
      <c r="U702" s="10"/>
    </row>
    <row r="703" spans="1:21" x14ac:dyDescent="0.2">
      <c r="A703" t="s">
        <v>1036</v>
      </c>
      <c r="B703" t="s">
        <v>14</v>
      </c>
      <c r="C703" t="s">
        <v>41</v>
      </c>
      <c r="D703" t="s">
        <v>77</v>
      </c>
      <c r="E703" t="str">
        <f>TRIM(RIGHT(Table1[[#This Row],[Location]],LEN(Table1[[#This Row],[Location]])-FIND(",",Table1[[#This Row],[Location]])))</f>
        <v>New York</v>
      </c>
      <c r="F703" t="s">
        <v>1031</v>
      </c>
      <c r="G703" t="s">
        <v>18</v>
      </c>
      <c r="H703" t="s">
        <v>26</v>
      </c>
      <c r="I703">
        <v>312206</v>
      </c>
      <c r="J703">
        <v>841</v>
      </c>
      <c r="K703">
        <v>35661</v>
      </c>
      <c r="L703">
        <v>292992</v>
      </c>
      <c r="M703">
        <v>5</v>
      </c>
      <c r="N703">
        <v>1550.938318</v>
      </c>
      <c r="O703" s="7">
        <f>IFERROR(Table1[[#This Row],[Clicks]]/Table1[[#This Row],[Impressions]],0)</f>
        <v>2.6937342651966972E-3</v>
      </c>
      <c r="P703" s="5">
        <f>IFERROR(Table1[[#This Row],[Total Conversions]]/Table1[[#This Row],[Clicks]],0)</f>
        <v>5.945303210463734E-3</v>
      </c>
      <c r="Q703" s="10">
        <f>IFERROR(Table1[[#This Row],[Gross Cost]]/Table1[[#This Row],[Total Conversions]],0)</f>
        <v>310.18766360000001</v>
      </c>
      <c r="R703" s="10">
        <f>IFERROR(Table1[[#This Row],[Gross Cost]]/(Table1[[#This Row],[Impressions]]/1000),0)</f>
        <v>4.9676762073758987</v>
      </c>
      <c r="S703" s="5">
        <f>IFERROR(Table1[[#This Row],[Viewable Impressions]]/Table1[[#This Row],[Measurable Impressions]],0)</f>
        <v>0.12171322083879424</v>
      </c>
      <c r="T703" s="10">
        <f>IFERROR(1000*Table1[[#This Row],[Gross Cost]]/Table1[[#This Row],[Viewable Impressions]],0)</f>
        <v>43.491161717282182</v>
      </c>
      <c r="U703" s="10"/>
    </row>
    <row r="704" spans="1:21" x14ac:dyDescent="0.2">
      <c r="A704" t="s">
        <v>616</v>
      </c>
      <c r="B704" t="s">
        <v>14</v>
      </c>
      <c r="C704" t="s">
        <v>30</v>
      </c>
      <c r="D704" t="s">
        <v>16</v>
      </c>
      <c r="E704" t="str">
        <f>TRIM(RIGHT(Table1[[#This Row],[Location]],LEN(Table1[[#This Row],[Location]])-FIND(",",Table1[[#This Row],[Location]])))</f>
        <v>California</v>
      </c>
      <c r="F704" t="s">
        <v>611</v>
      </c>
      <c r="G704" t="s">
        <v>116</v>
      </c>
      <c r="H704" t="s">
        <v>26</v>
      </c>
      <c r="I704">
        <v>1575592</v>
      </c>
      <c r="J704">
        <v>3874</v>
      </c>
      <c r="K704">
        <v>1155869</v>
      </c>
      <c r="L704">
        <v>1447900</v>
      </c>
      <c r="M704">
        <v>88</v>
      </c>
      <c r="N704">
        <v>7818.6482969999997</v>
      </c>
      <c r="O704" s="7">
        <f>IFERROR(Table1[[#This Row],[Clicks]]/Table1[[#This Row],[Impressions]],0)</f>
        <v>2.4587583587629283E-3</v>
      </c>
      <c r="P704" s="5">
        <f>IFERROR(Table1[[#This Row],[Total Conversions]]/Table1[[#This Row],[Clicks]],0)</f>
        <v>2.2715539494062985E-2</v>
      </c>
      <c r="Q704" s="10">
        <f>IFERROR(Table1[[#This Row],[Gross Cost]]/Table1[[#This Row],[Total Conversions]],0)</f>
        <v>88.84827610227272</v>
      </c>
      <c r="R704" s="10">
        <f>IFERROR(Table1[[#This Row],[Gross Cost]]/(Table1[[#This Row],[Impressions]]/1000),0)</f>
        <v>4.9623559252649159</v>
      </c>
      <c r="S704" s="5">
        <f>IFERROR(Table1[[#This Row],[Viewable Impressions]]/Table1[[#This Row],[Measurable Impressions]],0)</f>
        <v>0.79830720353615581</v>
      </c>
      <c r="T704" s="10">
        <f>IFERROR(1000*Table1[[#This Row],[Gross Cost]]/Table1[[#This Row],[Viewable Impressions]],0)</f>
        <v>6.7643031321023397</v>
      </c>
      <c r="U704" s="10"/>
    </row>
    <row r="705" spans="1:21" x14ac:dyDescent="0.2">
      <c r="A705" t="s">
        <v>636</v>
      </c>
      <c r="B705" t="s">
        <v>14</v>
      </c>
      <c r="C705" t="s">
        <v>22</v>
      </c>
      <c r="D705" t="s">
        <v>146</v>
      </c>
      <c r="E705" t="str">
        <f>TRIM(RIGHT(Table1[[#This Row],[Location]],LEN(Table1[[#This Row],[Location]])-FIND(",",Table1[[#This Row],[Location]])))</f>
        <v>Tennessee-Virginia</v>
      </c>
      <c r="F705" t="s">
        <v>611</v>
      </c>
      <c r="G705" t="s">
        <v>18</v>
      </c>
      <c r="H705" t="s">
        <v>26</v>
      </c>
      <c r="I705">
        <v>311753</v>
      </c>
      <c r="J705">
        <v>763</v>
      </c>
      <c r="K705">
        <v>170122</v>
      </c>
      <c r="L705">
        <v>256841</v>
      </c>
      <c r="M705">
        <v>6</v>
      </c>
      <c r="N705">
        <v>1543.6126549999999</v>
      </c>
      <c r="O705" s="7">
        <f>IFERROR(Table1[[#This Row],[Clicks]]/Table1[[#This Row],[Impressions]],0)</f>
        <v>2.4474503854012633E-3</v>
      </c>
      <c r="P705" s="5">
        <f>IFERROR(Table1[[#This Row],[Total Conversions]]/Table1[[#This Row],[Clicks]],0)</f>
        <v>7.8636959370904317E-3</v>
      </c>
      <c r="Q705" s="10">
        <f>IFERROR(Table1[[#This Row],[Gross Cost]]/Table1[[#This Row],[Total Conversions]],0)</f>
        <v>257.26877583333334</v>
      </c>
      <c r="R705" s="10">
        <f>IFERROR(Table1[[#This Row],[Gross Cost]]/(Table1[[#This Row],[Impressions]]/1000),0)</f>
        <v>4.9513963137483836</v>
      </c>
      <c r="S705" s="5">
        <f>IFERROR(Table1[[#This Row],[Viewable Impressions]]/Table1[[#This Row],[Measurable Impressions]],0)</f>
        <v>0.66236309623463541</v>
      </c>
      <c r="T705" s="10">
        <f>IFERROR(1000*Table1[[#This Row],[Gross Cost]]/Table1[[#This Row],[Viewable Impressions]],0)</f>
        <v>9.073562825501698</v>
      </c>
      <c r="U705" s="10"/>
    </row>
    <row r="706" spans="1:21" x14ac:dyDescent="0.2">
      <c r="A706" t="s">
        <v>635</v>
      </c>
      <c r="B706" t="s">
        <v>14</v>
      </c>
      <c r="C706" t="s">
        <v>30</v>
      </c>
      <c r="D706" t="s">
        <v>16</v>
      </c>
      <c r="E706" t="str">
        <f>TRIM(RIGHT(Table1[[#This Row],[Location]],LEN(Table1[[#This Row],[Location]])-FIND(",",Table1[[#This Row],[Location]])))</f>
        <v>California</v>
      </c>
      <c r="F706" t="s">
        <v>611</v>
      </c>
      <c r="G706" t="s">
        <v>18</v>
      </c>
      <c r="H706" t="s">
        <v>26</v>
      </c>
      <c r="I706">
        <v>321263</v>
      </c>
      <c r="J706">
        <v>852</v>
      </c>
      <c r="K706">
        <v>172887</v>
      </c>
      <c r="L706">
        <v>263424</v>
      </c>
      <c r="M706">
        <v>6</v>
      </c>
      <c r="N706">
        <v>1576.051434</v>
      </c>
      <c r="O706" s="7">
        <f>IFERROR(Table1[[#This Row],[Clicks]]/Table1[[#This Row],[Impressions]],0)</f>
        <v>2.6520327582074499E-3</v>
      </c>
      <c r="P706" s="5">
        <f>IFERROR(Table1[[#This Row],[Total Conversions]]/Table1[[#This Row],[Clicks]],0)</f>
        <v>7.0422535211267607E-3</v>
      </c>
      <c r="Q706" s="10">
        <f>IFERROR(Table1[[#This Row],[Gross Cost]]/Table1[[#This Row],[Total Conversions]],0)</f>
        <v>262.67523899999998</v>
      </c>
      <c r="R706" s="10">
        <f>IFERROR(Table1[[#This Row],[Gross Cost]]/(Table1[[#This Row],[Impressions]]/1000),0)</f>
        <v>4.9057981591406419</v>
      </c>
      <c r="S706" s="5">
        <f>IFERROR(Table1[[#This Row],[Viewable Impressions]]/Table1[[#This Row],[Measurable Impressions]],0)</f>
        <v>0.65630694241982512</v>
      </c>
      <c r="T706" s="10">
        <f>IFERROR(1000*Table1[[#This Row],[Gross Cost]]/Table1[[#This Row],[Viewable Impressions]],0)</f>
        <v>9.1160783286192704</v>
      </c>
      <c r="U706" s="10"/>
    </row>
    <row r="707" spans="1:21" x14ac:dyDescent="0.2">
      <c r="A707" t="s">
        <v>938</v>
      </c>
      <c r="B707" t="s">
        <v>21</v>
      </c>
      <c r="C707" t="s">
        <v>41</v>
      </c>
      <c r="D707" t="s">
        <v>77</v>
      </c>
      <c r="E707" t="str">
        <f>TRIM(RIGHT(Table1[[#This Row],[Location]],LEN(Table1[[#This Row],[Location]])-FIND(",",Table1[[#This Row],[Location]])))</f>
        <v>New York</v>
      </c>
      <c r="F707" t="s">
        <v>918</v>
      </c>
      <c r="G707" t="s">
        <v>18</v>
      </c>
      <c r="H707" t="s">
        <v>26</v>
      </c>
      <c r="I707">
        <v>654902</v>
      </c>
      <c r="J707">
        <v>1874</v>
      </c>
      <c r="K707">
        <v>40733</v>
      </c>
      <c r="L707">
        <v>477114</v>
      </c>
      <c r="M707">
        <v>14</v>
      </c>
      <c r="N707">
        <v>3178.6103149999999</v>
      </c>
      <c r="O707" s="7">
        <f>IFERROR(Table1[[#This Row],[Clicks]]/Table1[[#This Row],[Impressions]],0)</f>
        <v>2.8614968346409083E-3</v>
      </c>
      <c r="P707" s="5">
        <f>IFERROR(Table1[[#This Row],[Total Conversions]]/Table1[[#This Row],[Clicks]],0)</f>
        <v>7.470651013874066E-3</v>
      </c>
      <c r="Q707" s="10">
        <f>IFERROR(Table1[[#This Row],[Gross Cost]]/Table1[[#This Row],[Total Conversions]],0)</f>
        <v>227.04359392857143</v>
      </c>
      <c r="R707" s="10">
        <f>IFERROR(Table1[[#This Row],[Gross Cost]]/(Table1[[#This Row],[Impressions]]/1000),0)</f>
        <v>4.8535663580199779</v>
      </c>
      <c r="S707" s="5">
        <f>IFERROR(Table1[[#This Row],[Viewable Impressions]]/Table1[[#This Row],[Measurable Impressions]],0)</f>
        <v>8.537372619541661E-2</v>
      </c>
      <c r="T707" s="10">
        <f>IFERROR(1000*Table1[[#This Row],[Gross Cost]]/Table1[[#This Row],[Viewable Impressions]],0)</f>
        <v>78.03526170426926</v>
      </c>
      <c r="U707" s="10"/>
    </row>
    <row r="708" spans="1:21" x14ac:dyDescent="0.2">
      <c r="A708" t="s">
        <v>940</v>
      </c>
      <c r="B708" t="s">
        <v>14</v>
      </c>
      <c r="C708" t="s">
        <v>15</v>
      </c>
      <c r="D708" t="s">
        <v>34</v>
      </c>
      <c r="E708" t="str">
        <f>TRIM(RIGHT(Table1[[#This Row],[Location]],LEN(Table1[[#This Row],[Location]])-FIND(",",Table1[[#This Row],[Location]])))</f>
        <v>Illinois</v>
      </c>
      <c r="F708" t="s">
        <v>918</v>
      </c>
      <c r="G708" t="s">
        <v>35</v>
      </c>
      <c r="H708" t="s">
        <v>26</v>
      </c>
      <c r="I708">
        <v>564387</v>
      </c>
      <c r="J708">
        <v>1984</v>
      </c>
      <c r="K708">
        <v>78234</v>
      </c>
      <c r="L708">
        <v>438695</v>
      </c>
      <c r="M708">
        <v>6</v>
      </c>
      <c r="N708">
        <v>2712.3796779999998</v>
      </c>
      <c r="O708" s="7">
        <f>IFERROR(Table1[[#This Row],[Clicks]]/Table1[[#This Row],[Impressions]],0)</f>
        <v>3.5153183896865095E-3</v>
      </c>
      <c r="P708" s="5">
        <f>IFERROR(Table1[[#This Row],[Total Conversions]]/Table1[[#This Row],[Clicks]],0)</f>
        <v>3.0241935483870967E-3</v>
      </c>
      <c r="Q708" s="10">
        <f>IFERROR(Table1[[#This Row],[Gross Cost]]/Table1[[#This Row],[Total Conversions]],0)</f>
        <v>452.06327966666663</v>
      </c>
      <c r="R708" s="10">
        <f>IFERROR(Table1[[#This Row],[Gross Cost]]/(Table1[[#This Row],[Impressions]]/1000),0)</f>
        <v>4.8058861703051274</v>
      </c>
      <c r="S708" s="5">
        <f>IFERROR(Table1[[#This Row],[Viewable Impressions]]/Table1[[#This Row],[Measurable Impressions]],0)</f>
        <v>0.17833346630346825</v>
      </c>
      <c r="T708" s="10">
        <f>IFERROR(1000*Table1[[#This Row],[Gross Cost]]/Table1[[#This Row],[Viewable Impressions]],0)</f>
        <v>34.670088171383284</v>
      </c>
      <c r="U708" s="10"/>
    </row>
    <row r="709" spans="1:21" x14ac:dyDescent="0.2">
      <c r="A709" t="s">
        <v>1014</v>
      </c>
      <c r="B709" t="s">
        <v>14</v>
      </c>
      <c r="C709" t="s">
        <v>30</v>
      </c>
      <c r="D709" t="s">
        <v>54</v>
      </c>
      <c r="E709" t="str">
        <f>TRIM(RIGHT(Table1[[#This Row],[Location]],LEN(Table1[[#This Row],[Location]])-FIND(",",Table1[[#This Row],[Location]])))</f>
        <v>Florida</v>
      </c>
      <c r="F709" t="s">
        <v>991</v>
      </c>
      <c r="G709" t="s">
        <v>45</v>
      </c>
      <c r="H709" t="s">
        <v>26</v>
      </c>
      <c r="I709">
        <v>335664</v>
      </c>
      <c r="J709">
        <v>852</v>
      </c>
      <c r="K709">
        <v>148742</v>
      </c>
      <c r="L709">
        <v>313071</v>
      </c>
      <c r="M709">
        <v>25</v>
      </c>
      <c r="N709">
        <v>1542.5002159999999</v>
      </c>
      <c r="O709" s="7">
        <f>IFERROR(Table1[[#This Row],[Clicks]]/Table1[[#This Row],[Impressions]],0)</f>
        <v>2.5382525382525384E-3</v>
      </c>
      <c r="P709" s="5">
        <f>IFERROR(Table1[[#This Row],[Total Conversions]]/Table1[[#This Row],[Clicks]],0)</f>
        <v>2.9342723004694836E-2</v>
      </c>
      <c r="Q709" s="10">
        <f>IFERROR(Table1[[#This Row],[Gross Cost]]/Table1[[#This Row],[Total Conversions]],0)</f>
        <v>61.700008639999993</v>
      </c>
      <c r="R709" s="10">
        <f>IFERROR(Table1[[#This Row],[Gross Cost]]/(Table1[[#This Row],[Impressions]]/1000),0)</f>
        <v>4.5953698222031552</v>
      </c>
      <c r="S709" s="5">
        <f>IFERROR(Table1[[#This Row],[Viewable Impressions]]/Table1[[#This Row],[Measurable Impressions]],0)</f>
        <v>0.47510628579459613</v>
      </c>
      <c r="T709" s="10">
        <f>IFERROR(1000*Table1[[#This Row],[Gross Cost]]/Table1[[#This Row],[Viewable Impressions]],0)</f>
        <v>10.370307082061556</v>
      </c>
      <c r="U709" s="10"/>
    </row>
    <row r="710" spans="1:21" x14ac:dyDescent="0.2">
      <c r="A710" t="s">
        <v>992</v>
      </c>
      <c r="B710" t="s">
        <v>14</v>
      </c>
      <c r="C710" t="s">
        <v>15</v>
      </c>
      <c r="D710" t="s">
        <v>34</v>
      </c>
      <c r="E710" t="str">
        <f>TRIM(RIGHT(Table1[[#This Row],[Location]],LEN(Table1[[#This Row],[Location]])-FIND(",",Table1[[#This Row],[Location]])))</f>
        <v>Illinois</v>
      </c>
      <c r="F710" t="s">
        <v>991</v>
      </c>
      <c r="G710" t="s">
        <v>49</v>
      </c>
      <c r="H710" t="s">
        <v>26</v>
      </c>
      <c r="I710">
        <v>1767940</v>
      </c>
      <c r="J710">
        <v>4852</v>
      </c>
      <c r="K710">
        <v>881525</v>
      </c>
      <c r="L710">
        <v>1550866</v>
      </c>
      <c r="M710">
        <v>78</v>
      </c>
      <c r="N710">
        <v>7511.656191</v>
      </c>
      <c r="O710" s="7">
        <f>IFERROR(Table1[[#This Row],[Clicks]]/Table1[[#This Row],[Impressions]],0)</f>
        <v>2.7444370284059414E-3</v>
      </c>
      <c r="P710" s="5">
        <f>IFERROR(Table1[[#This Row],[Total Conversions]]/Table1[[#This Row],[Clicks]],0)</f>
        <v>1.6075845012366034E-2</v>
      </c>
      <c r="Q710" s="10">
        <f>IFERROR(Table1[[#This Row],[Gross Cost]]/Table1[[#This Row],[Total Conversions]],0)</f>
        <v>96.303284500000004</v>
      </c>
      <c r="R710" s="10">
        <f>IFERROR(Table1[[#This Row],[Gross Cost]]/(Table1[[#This Row],[Impressions]]/1000),0)</f>
        <v>4.2488185068497799</v>
      </c>
      <c r="S710" s="5">
        <f>IFERROR(Table1[[#This Row],[Viewable Impressions]]/Table1[[#This Row],[Measurable Impressions]],0)</f>
        <v>0.5684082312720764</v>
      </c>
      <c r="T710" s="10">
        <f>IFERROR(1000*Table1[[#This Row],[Gross Cost]]/Table1[[#This Row],[Viewable Impressions]],0)</f>
        <v>8.5212060815064792</v>
      </c>
      <c r="U710" s="10"/>
    </row>
    <row r="711" spans="1:21" x14ac:dyDescent="0.2">
      <c r="A711" t="s">
        <v>618</v>
      </c>
      <c r="B711" t="s">
        <v>21</v>
      </c>
      <c r="C711" t="s">
        <v>41</v>
      </c>
      <c r="D711" t="s">
        <v>28</v>
      </c>
      <c r="E711" t="str">
        <f>TRIM(RIGHT(Table1[[#This Row],[Location]],LEN(Table1[[#This Row],[Location]])-FIND(",",Table1[[#This Row],[Location]])))</f>
        <v>California</v>
      </c>
      <c r="F711" t="s">
        <v>611</v>
      </c>
      <c r="G711" t="s">
        <v>25</v>
      </c>
      <c r="H711" t="s">
        <v>26</v>
      </c>
      <c r="I711">
        <v>1601933</v>
      </c>
      <c r="J711">
        <v>4265</v>
      </c>
      <c r="K711">
        <v>1135085</v>
      </c>
      <c r="L711">
        <v>1487426</v>
      </c>
      <c r="M711">
        <v>29</v>
      </c>
      <c r="N711">
        <v>6785.7097899999999</v>
      </c>
      <c r="O711" s="7">
        <f>IFERROR(Table1[[#This Row],[Clicks]]/Table1[[#This Row],[Impressions]],0)</f>
        <v>2.6624084777578088E-3</v>
      </c>
      <c r="P711" s="5">
        <f>IFERROR(Table1[[#This Row],[Total Conversions]]/Table1[[#This Row],[Clicks]],0)</f>
        <v>6.7995310668229779E-3</v>
      </c>
      <c r="Q711" s="10">
        <f>IFERROR(Table1[[#This Row],[Gross Cost]]/Table1[[#This Row],[Total Conversions]],0)</f>
        <v>233.98999275862067</v>
      </c>
      <c r="R711" s="10">
        <f>IFERROR(Table1[[#This Row],[Gross Cost]]/(Table1[[#This Row],[Impressions]]/1000),0)</f>
        <v>4.235951060375184</v>
      </c>
      <c r="S711" s="5">
        <f>IFERROR(Table1[[#This Row],[Viewable Impressions]]/Table1[[#This Row],[Measurable Impressions]],0)</f>
        <v>0.76312031657373203</v>
      </c>
      <c r="T711" s="10">
        <f>IFERROR(1000*Table1[[#This Row],[Gross Cost]]/Table1[[#This Row],[Viewable Impressions]],0)</f>
        <v>5.9781512309650822</v>
      </c>
      <c r="U711" s="10"/>
    </row>
    <row r="712" spans="1:21" x14ac:dyDescent="0.2">
      <c r="A712" t="s">
        <v>708</v>
      </c>
      <c r="B712" t="s">
        <v>21</v>
      </c>
      <c r="C712" t="s">
        <v>15</v>
      </c>
      <c r="D712" t="s">
        <v>38</v>
      </c>
      <c r="E712" t="str">
        <f>TRIM(RIGHT(Table1[[#This Row],[Location]],LEN(Table1[[#This Row],[Location]])-FIND(",",Table1[[#This Row],[Location]])))</f>
        <v>Tennessee</v>
      </c>
      <c r="F712" t="s">
        <v>701</v>
      </c>
      <c r="G712" t="s">
        <v>35</v>
      </c>
      <c r="H712" t="s">
        <v>26</v>
      </c>
      <c r="I712">
        <v>481526</v>
      </c>
      <c r="J712">
        <v>1235</v>
      </c>
      <c r="K712">
        <v>396802</v>
      </c>
      <c r="L712">
        <v>437639</v>
      </c>
      <c r="M712">
        <v>23</v>
      </c>
      <c r="N712">
        <v>2037.8655940000001</v>
      </c>
      <c r="O712" s="7">
        <f>IFERROR(Table1[[#This Row],[Clicks]]/Table1[[#This Row],[Impressions]],0)</f>
        <v>2.5647628580803528E-3</v>
      </c>
      <c r="P712" s="5">
        <f>IFERROR(Table1[[#This Row],[Total Conversions]]/Table1[[#This Row],[Clicks]],0)</f>
        <v>1.862348178137652E-2</v>
      </c>
      <c r="Q712" s="10">
        <f>IFERROR(Table1[[#This Row],[Gross Cost]]/Table1[[#This Row],[Total Conversions]],0)</f>
        <v>88.60285191304348</v>
      </c>
      <c r="R712" s="10">
        <f>IFERROR(Table1[[#This Row],[Gross Cost]]/(Table1[[#This Row],[Impressions]]/1000),0)</f>
        <v>4.2320987734826367</v>
      </c>
      <c r="S712" s="5">
        <f>IFERROR(Table1[[#This Row],[Viewable Impressions]]/Table1[[#This Row],[Measurable Impressions]],0)</f>
        <v>0.90668793229122635</v>
      </c>
      <c r="T712" s="10">
        <f>IFERROR(1000*Table1[[#This Row],[Gross Cost]]/Table1[[#This Row],[Viewable Impressions]],0)</f>
        <v>5.1357240991728874</v>
      </c>
      <c r="U712" s="10"/>
    </row>
    <row r="713" spans="1:21" x14ac:dyDescent="0.2">
      <c r="A713" t="s">
        <v>541</v>
      </c>
      <c r="B713" t="s">
        <v>14</v>
      </c>
      <c r="C713" t="s">
        <v>41</v>
      </c>
      <c r="D713" t="s">
        <v>77</v>
      </c>
      <c r="E713" t="str">
        <f>TRIM(RIGHT(Table1[[#This Row],[Location]],LEN(Table1[[#This Row],[Location]])-FIND(",",Table1[[#This Row],[Location]])))</f>
        <v>New York</v>
      </c>
      <c r="F713" t="s">
        <v>538</v>
      </c>
      <c r="G713" t="s">
        <v>45</v>
      </c>
      <c r="H713" t="s">
        <v>26</v>
      </c>
      <c r="I713">
        <v>1956642</v>
      </c>
      <c r="J713">
        <v>4563</v>
      </c>
      <c r="K713">
        <v>981461</v>
      </c>
      <c r="L713">
        <v>1731673</v>
      </c>
      <c r="M713">
        <v>106</v>
      </c>
      <c r="N713">
        <v>7730.240616</v>
      </c>
      <c r="O713" s="7">
        <f>IFERROR(Table1[[#This Row],[Clicks]]/Table1[[#This Row],[Impressions]],0)</f>
        <v>2.3320566562508626E-3</v>
      </c>
      <c r="P713" s="5">
        <f>IFERROR(Table1[[#This Row],[Total Conversions]]/Table1[[#This Row],[Clicks]],0)</f>
        <v>2.3230330922638615E-2</v>
      </c>
      <c r="Q713" s="10">
        <f>IFERROR(Table1[[#This Row],[Gross Cost]]/Table1[[#This Row],[Total Conversions]],0)</f>
        <v>72.926798264150946</v>
      </c>
      <c r="R713" s="10">
        <f>IFERROR(Table1[[#This Row],[Gross Cost]]/(Table1[[#This Row],[Impressions]]/1000),0)</f>
        <v>3.9507690297969682</v>
      </c>
      <c r="S713" s="5">
        <f>IFERROR(Table1[[#This Row],[Viewable Impressions]]/Table1[[#This Row],[Measurable Impressions]],0)</f>
        <v>0.56677040064723538</v>
      </c>
      <c r="T713" s="10">
        <f>IFERROR(1000*Table1[[#This Row],[Gross Cost]]/Table1[[#This Row],[Viewable Impressions]],0)</f>
        <v>7.8762585736977835</v>
      </c>
      <c r="U713" s="10"/>
    </row>
    <row r="714" spans="1:21" x14ac:dyDescent="0.2">
      <c r="A714" t="s">
        <v>1010</v>
      </c>
      <c r="B714" t="s">
        <v>14</v>
      </c>
      <c r="C714" t="s">
        <v>15</v>
      </c>
      <c r="D714" t="s">
        <v>34</v>
      </c>
      <c r="E714" t="str">
        <f>TRIM(RIGHT(Table1[[#This Row],[Location]],LEN(Table1[[#This Row],[Location]])-FIND(",",Table1[[#This Row],[Location]])))</f>
        <v>Illinois</v>
      </c>
      <c r="F714" t="s">
        <v>991</v>
      </c>
      <c r="G714" t="s">
        <v>18</v>
      </c>
      <c r="H714" t="s">
        <v>26</v>
      </c>
      <c r="I714">
        <v>421110</v>
      </c>
      <c r="J714">
        <v>984</v>
      </c>
      <c r="K714">
        <v>212140</v>
      </c>
      <c r="L714">
        <v>389474</v>
      </c>
      <c r="M714">
        <v>4</v>
      </c>
      <c r="N714">
        <v>1635.920216</v>
      </c>
      <c r="O714" s="7">
        <f>IFERROR(Table1[[#This Row],[Clicks]]/Table1[[#This Row],[Impressions]],0)</f>
        <v>2.3366816271283039E-3</v>
      </c>
      <c r="P714" s="5">
        <f>IFERROR(Table1[[#This Row],[Total Conversions]]/Table1[[#This Row],[Clicks]],0)</f>
        <v>4.0650406504065045E-3</v>
      </c>
      <c r="Q714" s="10">
        <f>IFERROR(Table1[[#This Row],[Gross Cost]]/Table1[[#This Row],[Total Conversions]],0)</f>
        <v>408.980054</v>
      </c>
      <c r="R714" s="10">
        <f>IFERROR(Table1[[#This Row],[Gross Cost]]/(Table1[[#This Row],[Impressions]]/1000),0)</f>
        <v>3.884781211559925</v>
      </c>
      <c r="S714" s="5">
        <f>IFERROR(Table1[[#This Row],[Viewable Impressions]]/Table1[[#This Row],[Measurable Impressions]],0)</f>
        <v>0.54468334214864145</v>
      </c>
      <c r="T714" s="10">
        <f>IFERROR(1000*Table1[[#This Row],[Gross Cost]]/Table1[[#This Row],[Viewable Impressions]],0)</f>
        <v>7.7115122843405297</v>
      </c>
      <c r="U714" s="10"/>
    </row>
    <row r="715" spans="1:21" x14ac:dyDescent="0.2">
      <c r="A715" t="s">
        <v>321</v>
      </c>
      <c r="B715" t="s">
        <v>14</v>
      </c>
      <c r="C715" t="s">
        <v>41</v>
      </c>
      <c r="D715" t="s">
        <v>38</v>
      </c>
      <c r="E715" t="str">
        <f>TRIM(RIGHT(Table1[[#This Row],[Location]],LEN(Table1[[#This Row],[Location]])-FIND(",",Table1[[#This Row],[Location]])))</f>
        <v>Tennessee</v>
      </c>
      <c r="F715" t="s">
        <v>296</v>
      </c>
      <c r="G715" t="s">
        <v>49</v>
      </c>
      <c r="H715" t="s">
        <v>26</v>
      </c>
      <c r="I715">
        <v>435848</v>
      </c>
      <c r="J715">
        <v>1058</v>
      </c>
      <c r="K715">
        <v>274912</v>
      </c>
      <c r="L715">
        <v>415601</v>
      </c>
      <c r="M715">
        <v>15</v>
      </c>
      <c r="N715">
        <v>1554.439959</v>
      </c>
      <c r="O715" s="7">
        <f>IFERROR(Table1[[#This Row],[Clicks]]/Table1[[#This Row],[Impressions]],0)</f>
        <v>2.4274517721774563E-3</v>
      </c>
      <c r="P715" s="5">
        <f>IFERROR(Table1[[#This Row],[Total Conversions]]/Table1[[#This Row],[Clicks]],0)</f>
        <v>1.4177693761814745E-2</v>
      </c>
      <c r="Q715" s="10">
        <f>IFERROR(Table1[[#This Row],[Gross Cost]]/Table1[[#This Row],[Total Conversions]],0)</f>
        <v>103.6293306</v>
      </c>
      <c r="R715" s="10">
        <f>IFERROR(Table1[[#This Row],[Gross Cost]]/(Table1[[#This Row],[Impressions]]/1000),0)</f>
        <v>3.5664726211890385</v>
      </c>
      <c r="S715" s="5">
        <f>IFERROR(Table1[[#This Row],[Viewable Impressions]]/Table1[[#This Row],[Measurable Impressions]],0)</f>
        <v>0.66148060278969489</v>
      </c>
      <c r="T715" s="10">
        <f>IFERROR(1000*Table1[[#This Row],[Gross Cost]]/Table1[[#This Row],[Viewable Impressions]],0)</f>
        <v>5.6543183236817605</v>
      </c>
      <c r="U715" s="10"/>
    </row>
    <row r="716" spans="1:21" x14ac:dyDescent="0.2">
      <c r="A716" t="s">
        <v>546</v>
      </c>
      <c r="B716" t="s">
        <v>14</v>
      </c>
      <c r="C716" t="s">
        <v>15</v>
      </c>
      <c r="D716" t="s">
        <v>16</v>
      </c>
      <c r="E716" t="str">
        <f>TRIM(RIGHT(Table1[[#This Row],[Location]],LEN(Table1[[#This Row],[Location]])-FIND(",",Table1[[#This Row],[Location]])))</f>
        <v>California</v>
      </c>
      <c r="F716" t="s">
        <v>538</v>
      </c>
      <c r="G716" t="s">
        <v>25</v>
      </c>
      <c r="H716" t="s">
        <v>26</v>
      </c>
      <c r="I716">
        <v>1720462</v>
      </c>
      <c r="J716">
        <v>4865</v>
      </c>
      <c r="K716">
        <v>940296</v>
      </c>
      <c r="L716">
        <v>1516537</v>
      </c>
      <c r="M716">
        <v>20</v>
      </c>
      <c r="N716">
        <v>5906.4649669999999</v>
      </c>
      <c r="O716" s="7">
        <f>IFERROR(Table1[[#This Row],[Clicks]]/Table1[[#This Row],[Impressions]],0)</f>
        <v>2.8277288309767959E-3</v>
      </c>
      <c r="P716" s="5">
        <f>IFERROR(Table1[[#This Row],[Total Conversions]]/Table1[[#This Row],[Clicks]],0)</f>
        <v>4.1109969167523125E-3</v>
      </c>
      <c r="Q716" s="10">
        <f>IFERROR(Table1[[#This Row],[Gross Cost]]/Table1[[#This Row],[Total Conversions]],0)</f>
        <v>295.32324834999997</v>
      </c>
      <c r="R716" s="10">
        <f>IFERROR(Table1[[#This Row],[Gross Cost]]/(Table1[[#This Row],[Impressions]]/1000),0)</f>
        <v>3.4330691215499094</v>
      </c>
      <c r="S716" s="5">
        <f>IFERROR(Table1[[#This Row],[Viewable Impressions]]/Table1[[#This Row],[Measurable Impressions]],0)</f>
        <v>0.62002839363629114</v>
      </c>
      <c r="T716" s="10">
        <f>IFERROR(1000*Table1[[#This Row],[Gross Cost]]/Table1[[#This Row],[Viewable Impressions]],0)</f>
        <v>6.2814953663527229</v>
      </c>
      <c r="U716" s="10"/>
    </row>
    <row r="717" spans="1:21" x14ac:dyDescent="0.2">
      <c r="A717" t="s">
        <v>558</v>
      </c>
      <c r="B717" t="s">
        <v>14</v>
      </c>
      <c r="C717" t="s">
        <v>22</v>
      </c>
      <c r="D717" t="s">
        <v>38</v>
      </c>
      <c r="E717" t="str">
        <f>TRIM(RIGHT(Table1[[#This Row],[Location]],LEN(Table1[[#This Row],[Location]])-FIND(",",Table1[[#This Row],[Location]])))</f>
        <v>Tennessee</v>
      </c>
      <c r="F717" t="s">
        <v>538</v>
      </c>
      <c r="G717" t="s">
        <v>18</v>
      </c>
      <c r="H717" t="s">
        <v>26</v>
      </c>
      <c r="I717">
        <v>482834</v>
      </c>
      <c r="J717">
        <v>1269</v>
      </c>
      <c r="K717">
        <v>292059</v>
      </c>
      <c r="L717">
        <v>428761</v>
      </c>
      <c r="M717">
        <v>7</v>
      </c>
      <c r="N717">
        <v>1594.463397</v>
      </c>
      <c r="O717" s="7">
        <f>IFERROR(Table1[[#This Row],[Clicks]]/Table1[[#This Row],[Impressions]],0)</f>
        <v>2.6282324774145982E-3</v>
      </c>
      <c r="P717" s="5">
        <f>IFERROR(Table1[[#This Row],[Total Conversions]]/Table1[[#This Row],[Clicks]],0)</f>
        <v>5.5161544523246652E-3</v>
      </c>
      <c r="Q717" s="10">
        <f>IFERROR(Table1[[#This Row],[Gross Cost]]/Table1[[#This Row],[Total Conversions]],0)</f>
        <v>227.78048528571429</v>
      </c>
      <c r="R717" s="10">
        <f>IFERROR(Table1[[#This Row],[Gross Cost]]/(Table1[[#This Row],[Impressions]]/1000),0)</f>
        <v>3.3023014058661984</v>
      </c>
      <c r="S717" s="5">
        <f>IFERROR(Table1[[#This Row],[Viewable Impressions]]/Table1[[#This Row],[Measurable Impressions]],0)</f>
        <v>0.68116969593783017</v>
      </c>
      <c r="T717" s="10">
        <f>IFERROR(1000*Table1[[#This Row],[Gross Cost]]/Table1[[#This Row],[Viewable Impressions]],0)</f>
        <v>5.4593879900978903</v>
      </c>
      <c r="U717" s="10"/>
    </row>
    <row r="718" spans="1:21" x14ac:dyDescent="0.2">
      <c r="A718" t="s">
        <v>1008</v>
      </c>
      <c r="B718" t="s">
        <v>14</v>
      </c>
      <c r="C718" t="s">
        <v>41</v>
      </c>
      <c r="D718" t="s">
        <v>16</v>
      </c>
      <c r="E718" t="str">
        <f>TRIM(RIGHT(Table1[[#This Row],[Location]],LEN(Table1[[#This Row],[Location]])-FIND(",",Table1[[#This Row],[Location]])))</f>
        <v>California</v>
      </c>
      <c r="F718" t="s">
        <v>991</v>
      </c>
      <c r="G718" t="s">
        <v>25</v>
      </c>
      <c r="H718" t="s">
        <v>26</v>
      </c>
      <c r="I718">
        <v>556152</v>
      </c>
      <c r="J718">
        <v>1867</v>
      </c>
      <c r="K718">
        <v>221833</v>
      </c>
      <c r="L718">
        <v>480882</v>
      </c>
      <c r="M718">
        <v>7</v>
      </c>
      <c r="N718">
        <v>1818.100044</v>
      </c>
      <c r="O718" s="7">
        <f>IFERROR(Table1[[#This Row],[Clicks]]/Table1[[#This Row],[Impressions]],0)</f>
        <v>3.3569959291704426E-3</v>
      </c>
      <c r="P718" s="5">
        <f>IFERROR(Table1[[#This Row],[Total Conversions]]/Table1[[#This Row],[Clicks]],0)</f>
        <v>3.7493304767005891E-3</v>
      </c>
      <c r="Q718" s="10">
        <f>IFERROR(Table1[[#This Row],[Gross Cost]]/Table1[[#This Row],[Total Conversions]],0)</f>
        <v>259.72857771428573</v>
      </c>
      <c r="R718" s="10">
        <f>IFERROR(Table1[[#This Row],[Gross Cost]]/(Table1[[#This Row],[Impressions]]/1000),0)</f>
        <v>3.2690704052129633</v>
      </c>
      <c r="S718" s="5">
        <f>IFERROR(Table1[[#This Row],[Viewable Impressions]]/Table1[[#This Row],[Measurable Impressions]],0)</f>
        <v>0.46130443643139063</v>
      </c>
      <c r="T718" s="10">
        <f>IFERROR(1000*Table1[[#This Row],[Gross Cost]]/Table1[[#This Row],[Viewable Impressions]],0)</f>
        <v>8.1958051507214886</v>
      </c>
      <c r="U718" s="10"/>
    </row>
    <row r="719" spans="1:21" x14ac:dyDescent="0.2">
      <c r="A719" t="s">
        <v>839</v>
      </c>
      <c r="B719" t="s">
        <v>14</v>
      </c>
      <c r="C719" t="s">
        <v>22</v>
      </c>
      <c r="D719" t="s">
        <v>34</v>
      </c>
      <c r="E719" t="str">
        <f>TRIM(RIGHT(Table1[[#This Row],[Location]],LEN(Table1[[#This Row],[Location]])-FIND(",",Table1[[#This Row],[Location]])))</f>
        <v>Illinois</v>
      </c>
      <c r="F719" t="s">
        <v>838</v>
      </c>
      <c r="G719" t="s">
        <v>18</v>
      </c>
      <c r="H719" t="s">
        <v>26</v>
      </c>
      <c r="I719">
        <v>756687</v>
      </c>
      <c r="J719">
        <v>1984</v>
      </c>
      <c r="K719">
        <v>442979</v>
      </c>
      <c r="L719">
        <v>611813</v>
      </c>
      <c r="M719">
        <v>14</v>
      </c>
      <c r="N719">
        <v>2452.9975039999999</v>
      </c>
      <c r="O719" s="7">
        <f>IFERROR(Table1[[#This Row],[Clicks]]/Table1[[#This Row],[Impressions]],0)</f>
        <v>2.6219559738703056E-3</v>
      </c>
      <c r="P719" s="5">
        <f>IFERROR(Table1[[#This Row],[Total Conversions]]/Table1[[#This Row],[Clicks]],0)</f>
        <v>7.0564516129032256E-3</v>
      </c>
      <c r="Q719" s="10">
        <f>IFERROR(Table1[[#This Row],[Gross Cost]]/Table1[[#This Row],[Total Conversions]],0)</f>
        <v>175.21410742857142</v>
      </c>
      <c r="R719" s="10">
        <f>IFERROR(Table1[[#This Row],[Gross Cost]]/(Table1[[#This Row],[Impressions]]/1000),0)</f>
        <v>3.2417598082166075</v>
      </c>
      <c r="S719" s="5">
        <f>IFERROR(Table1[[#This Row],[Viewable Impressions]]/Table1[[#This Row],[Measurable Impressions]],0)</f>
        <v>0.72404313082592231</v>
      </c>
      <c r="T719" s="10">
        <f>IFERROR(1000*Table1[[#This Row],[Gross Cost]]/Table1[[#This Row],[Viewable Impressions]],0)</f>
        <v>5.5375029154880924</v>
      </c>
      <c r="U719" s="10"/>
    </row>
    <row r="720" spans="1:21" x14ac:dyDescent="0.2">
      <c r="A720" t="s">
        <v>555</v>
      </c>
      <c r="B720" t="s">
        <v>60</v>
      </c>
      <c r="C720" t="s">
        <v>22</v>
      </c>
      <c r="D720" t="s">
        <v>34</v>
      </c>
      <c r="E720" t="str">
        <f>TRIM(RIGHT(Table1[[#This Row],[Location]],LEN(Table1[[#This Row],[Location]])-FIND(",",Table1[[#This Row],[Location]])))</f>
        <v>Illinois</v>
      </c>
      <c r="F720" t="s">
        <v>538</v>
      </c>
      <c r="G720" t="s">
        <v>18</v>
      </c>
      <c r="H720" t="s">
        <v>26</v>
      </c>
      <c r="I720">
        <v>562103</v>
      </c>
      <c r="J720">
        <v>1450</v>
      </c>
      <c r="K720">
        <v>340616</v>
      </c>
      <c r="L720">
        <v>488921</v>
      </c>
      <c r="M720">
        <v>8</v>
      </c>
      <c r="N720">
        <v>1733.8301719999999</v>
      </c>
      <c r="O720" s="7">
        <f>IFERROR(Table1[[#This Row],[Clicks]]/Table1[[#This Row],[Impressions]],0)</f>
        <v>2.5795984010047982E-3</v>
      </c>
      <c r="P720" s="5">
        <f>IFERROR(Table1[[#This Row],[Total Conversions]]/Table1[[#This Row],[Clicks]],0)</f>
        <v>5.5172413793103444E-3</v>
      </c>
      <c r="Q720" s="10">
        <f>IFERROR(Table1[[#This Row],[Gross Cost]]/Table1[[#This Row],[Total Conversions]],0)</f>
        <v>216.72877149999999</v>
      </c>
      <c r="R720" s="10">
        <f>IFERROR(Table1[[#This Row],[Gross Cost]]/(Table1[[#This Row],[Impressions]]/1000),0)</f>
        <v>3.0845417512448789</v>
      </c>
      <c r="S720" s="5">
        <f>IFERROR(Table1[[#This Row],[Viewable Impressions]]/Table1[[#This Row],[Measurable Impressions]],0)</f>
        <v>0.69666878698194601</v>
      </c>
      <c r="T720" s="10">
        <f>IFERROR(1000*Table1[[#This Row],[Gross Cost]]/Table1[[#This Row],[Viewable Impressions]],0)</f>
        <v>5.0902781196420603</v>
      </c>
      <c r="U720" s="10"/>
    </row>
    <row r="721" spans="1:21" x14ac:dyDescent="0.2">
      <c r="A721" t="s">
        <v>634</v>
      </c>
      <c r="B721" t="s">
        <v>14</v>
      </c>
      <c r="C721" t="s">
        <v>30</v>
      </c>
      <c r="D721" t="s">
        <v>34</v>
      </c>
      <c r="E721" t="str">
        <f>TRIM(RIGHT(Table1[[#This Row],[Location]],LEN(Table1[[#This Row],[Location]])-FIND(",",Table1[[#This Row],[Location]])))</f>
        <v>Illinois</v>
      </c>
      <c r="F721" t="s">
        <v>611</v>
      </c>
      <c r="G721" t="s">
        <v>18</v>
      </c>
      <c r="H721" t="s">
        <v>26</v>
      </c>
      <c r="I721">
        <v>554980</v>
      </c>
      <c r="J721">
        <v>1542</v>
      </c>
      <c r="K721">
        <v>323498</v>
      </c>
      <c r="L721">
        <v>467646</v>
      </c>
      <c r="M721">
        <v>8</v>
      </c>
      <c r="N721">
        <v>1600.7695880000001</v>
      </c>
      <c r="O721" s="7">
        <f>IFERROR(Table1[[#This Row],[Clicks]]/Table1[[#This Row],[Impressions]],0)</f>
        <v>2.7784785037298643E-3</v>
      </c>
      <c r="P721" s="5">
        <f>IFERROR(Table1[[#This Row],[Total Conversions]]/Table1[[#This Row],[Clicks]],0)</f>
        <v>5.1880674448767832E-3</v>
      </c>
      <c r="Q721" s="10">
        <f>IFERROR(Table1[[#This Row],[Gross Cost]]/Table1[[#This Row],[Total Conversions]],0)</f>
        <v>200.09619850000001</v>
      </c>
      <c r="R721" s="10">
        <f>IFERROR(Table1[[#This Row],[Gross Cost]]/(Table1[[#This Row],[Impressions]]/1000),0)</f>
        <v>2.8843734693142098</v>
      </c>
      <c r="S721" s="5">
        <f>IFERROR(Table1[[#This Row],[Viewable Impressions]]/Table1[[#This Row],[Measurable Impressions]],0)</f>
        <v>0.69175829580494652</v>
      </c>
      <c r="T721" s="10">
        <f>IFERROR(1000*Table1[[#This Row],[Gross Cost]]/Table1[[#This Row],[Viewable Impressions]],0)</f>
        <v>4.9483137082764044</v>
      </c>
      <c r="U721" s="10"/>
    </row>
    <row r="722" spans="1:21" x14ac:dyDescent="0.2">
      <c r="A722" t="s">
        <v>1017</v>
      </c>
      <c r="B722" t="s">
        <v>21</v>
      </c>
      <c r="C722" t="s">
        <v>41</v>
      </c>
      <c r="D722" t="s">
        <v>397</v>
      </c>
      <c r="E722" t="str">
        <f>TRIM(RIGHT(Table1[[#This Row],[Location]],LEN(Table1[[#This Row],[Location]])-FIND(",",Table1[[#This Row],[Location]])))</f>
        <v>Indiana</v>
      </c>
      <c r="F722" t="s">
        <v>991</v>
      </c>
      <c r="G722" t="s">
        <v>45</v>
      </c>
      <c r="H722" t="s">
        <v>26</v>
      </c>
      <c r="I722">
        <v>507889</v>
      </c>
      <c r="J722">
        <v>823</v>
      </c>
      <c r="K722">
        <v>176329</v>
      </c>
      <c r="L722">
        <v>450103</v>
      </c>
      <c r="M722">
        <v>78</v>
      </c>
      <c r="N722">
        <v>1440.7453620000001</v>
      </c>
      <c r="O722" s="7">
        <f>IFERROR(Table1[[#This Row],[Clicks]]/Table1[[#This Row],[Impressions]],0)</f>
        <v>1.6204328111063637E-3</v>
      </c>
      <c r="P722" s="5">
        <f>IFERROR(Table1[[#This Row],[Total Conversions]]/Table1[[#This Row],[Clicks]],0)</f>
        <v>9.4775212636695014E-2</v>
      </c>
      <c r="Q722" s="10">
        <f>IFERROR(Table1[[#This Row],[Gross Cost]]/Table1[[#This Row],[Total Conversions]],0)</f>
        <v>18.471094384615387</v>
      </c>
      <c r="R722" s="10">
        <f>IFERROR(Table1[[#This Row],[Gross Cost]]/(Table1[[#This Row],[Impressions]]/1000),0)</f>
        <v>2.8367327545979535</v>
      </c>
      <c r="S722" s="5">
        <f>IFERROR(Table1[[#This Row],[Viewable Impressions]]/Table1[[#This Row],[Measurable Impressions]],0)</f>
        <v>0.3917525544153227</v>
      </c>
      <c r="T722" s="10">
        <f>IFERROR(1000*Table1[[#This Row],[Gross Cost]]/Table1[[#This Row],[Viewable Impressions]],0)</f>
        <v>8.1707794066772923</v>
      </c>
      <c r="U722" s="10"/>
    </row>
    <row r="723" spans="1:21" x14ac:dyDescent="0.2">
      <c r="A723" t="s">
        <v>1009</v>
      </c>
      <c r="B723" t="s">
        <v>14</v>
      </c>
      <c r="C723" t="s">
        <v>30</v>
      </c>
      <c r="D723" t="s">
        <v>34</v>
      </c>
      <c r="E723" t="str">
        <f>TRIM(RIGHT(Table1[[#This Row],[Location]],LEN(Table1[[#This Row],[Location]])-FIND(",",Table1[[#This Row],[Location]])))</f>
        <v>Illinois</v>
      </c>
      <c r="F723" t="s">
        <v>991</v>
      </c>
      <c r="G723" t="s">
        <v>18</v>
      </c>
      <c r="H723" t="s">
        <v>19</v>
      </c>
      <c r="I723">
        <v>598460</v>
      </c>
      <c r="J723">
        <v>1654</v>
      </c>
      <c r="K723">
        <v>201153</v>
      </c>
      <c r="L723">
        <v>557263</v>
      </c>
      <c r="M723">
        <v>13</v>
      </c>
      <c r="N723">
        <v>1689.7445070000001</v>
      </c>
      <c r="O723" s="7">
        <f>IFERROR(Table1[[#This Row],[Clicks]]/Table1[[#This Row],[Impressions]],0)</f>
        <v>2.763760318149918E-3</v>
      </c>
      <c r="P723" s="5">
        <f>IFERROR(Table1[[#This Row],[Total Conversions]]/Table1[[#This Row],[Clicks]],0)</f>
        <v>7.8597339782345826E-3</v>
      </c>
      <c r="Q723" s="10">
        <f>IFERROR(Table1[[#This Row],[Gross Cost]]/Table1[[#This Row],[Total Conversions]],0)</f>
        <v>129.98034669230771</v>
      </c>
      <c r="R723" s="10">
        <f>IFERROR(Table1[[#This Row],[Gross Cost]]/(Table1[[#This Row],[Impressions]]/1000),0)</f>
        <v>2.8234877970123318</v>
      </c>
      <c r="S723" s="5">
        <f>IFERROR(Table1[[#This Row],[Viewable Impressions]]/Table1[[#This Row],[Measurable Impressions]],0)</f>
        <v>0.36096600707385917</v>
      </c>
      <c r="T723" s="10">
        <f>IFERROR(1000*Table1[[#This Row],[Gross Cost]]/Table1[[#This Row],[Viewable Impressions]],0)</f>
        <v>8.4002948352746429</v>
      </c>
      <c r="U723" s="10"/>
    </row>
    <row r="724" spans="1:21" x14ac:dyDescent="0.2">
      <c r="A724" t="s">
        <v>1003</v>
      </c>
      <c r="B724" t="s">
        <v>14</v>
      </c>
      <c r="C724" t="s">
        <v>15</v>
      </c>
      <c r="D724" t="s">
        <v>77</v>
      </c>
      <c r="E724" t="str">
        <f>TRIM(RIGHT(Table1[[#This Row],[Location]],LEN(Table1[[#This Row],[Location]])-FIND(",",Table1[[#This Row],[Location]])))</f>
        <v>New York</v>
      </c>
      <c r="F724" t="s">
        <v>991</v>
      </c>
      <c r="G724" t="s">
        <v>18</v>
      </c>
      <c r="H724" t="s">
        <v>26</v>
      </c>
      <c r="I724">
        <v>1116343</v>
      </c>
      <c r="J724">
        <v>3104</v>
      </c>
      <c r="K724">
        <v>550519</v>
      </c>
      <c r="L724">
        <v>977978</v>
      </c>
      <c r="M724">
        <v>9</v>
      </c>
      <c r="N724">
        <v>2494.217596</v>
      </c>
      <c r="O724" s="7">
        <f>IFERROR(Table1[[#This Row],[Clicks]]/Table1[[#This Row],[Impressions]],0)</f>
        <v>2.780507424689365E-3</v>
      </c>
      <c r="P724" s="5">
        <f>IFERROR(Table1[[#This Row],[Total Conversions]]/Table1[[#This Row],[Clicks]],0)</f>
        <v>2.8994845360824743E-3</v>
      </c>
      <c r="Q724" s="10">
        <f>IFERROR(Table1[[#This Row],[Gross Cost]]/Table1[[#This Row],[Total Conversions]],0)</f>
        <v>277.13528844444443</v>
      </c>
      <c r="R724" s="10">
        <f>IFERROR(Table1[[#This Row],[Gross Cost]]/(Table1[[#This Row],[Impressions]]/1000),0)</f>
        <v>2.2342753042747612</v>
      </c>
      <c r="S724" s="5">
        <f>IFERROR(Table1[[#This Row],[Viewable Impressions]]/Table1[[#This Row],[Measurable Impressions]],0)</f>
        <v>0.56291552570712222</v>
      </c>
      <c r="T724" s="10">
        <f>IFERROR(1000*Table1[[#This Row],[Gross Cost]]/Table1[[#This Row],[Viewable Impressions]],0)</f>
        <v>4.5306657826523695</v>
      </c>
      <c r="U724" s="10"/>
    </row>
    <row r="725" spans="1:21" x14ac:dyDescent="0.2">
      <c r="A725" t="s">
        <v>556</v>
      </c>
      <c r="B725" t="s">
        <v>21</v>
      </c>
      <c r="C725" t="s">
        <v>22</v>
      </c>
      <c r="D725" t="s">
        <v>28</v>
      </c>
      <c r="E725" t="str">
        <f>TRIM(RIGHT(Table1[[#This Row],[Location]],LEN(Table1[[#This Row],[Location]])-FIND(",",Table1[[#This Row],[Location]])))</f>
        <v>California</v>
      </c>
      <c r="F725" t="s">
        <v>538</v>
      </c>
      <c r="G725" t="s">
        <v>18</v>
      </c>
      <c r="H725" t="s">
        <v>26</v>
      </c>
      <c r="I725">
        <v>780475</v>
      </c>
      <c r="J725">
        <v>2186</v>
      </c>
      <c r="K725">
        <v>453974</v>
      </c>
      <c r="L725">
        <v>691696</v>
      </c>
      <c r="M725">
        <v>11</v>
      </c>
      <c r="N725">
        <v>1726.2494569999999</v>
      </c>
      <c r="O725" s="7">
        <f>IFERROR(Table1[[#This Row],[Clicks]]/Table1[[#This Row],[Impressions]],0)</f>
        <v>2.8008584515839714E-3</v>
      </c>
      <c r="P725" s="5">
        <f>IFERROR(Table1[[#This Row],[Total Conversions]]/Table1[[#This Row],[Clicks]],0)</f>
        <v>5.0320219579139984E-3</v>
      </c>
      <c r="Q725" s="10">
        <f>IFERROR(Table1[[#This Row],[Gross Cost]]/Table1[[#This Row],[Total Conversions]],0)</f>
        <v>156.93176881818181</v>
      </c>
      <c r="R725" s="10">
        <f>IFERROR(Table1[[#This Row],[Gross Cost]]/(Table1[[#This Row],[Impressions]]/1000),0)</f>
        <v>2.2117934040167846</v>
      </c>
      <c r="S725" s="5">
        <f>IFERROR(Table1[[#This Row],[Viewable Impressions]]/Table1[[#This Row],[Measurable Impressions]],0)</f>
        <v>0.65632011750826957</v>
      </c>
      <c r="T725" s="10">
        <f>IFERROR(1000*Table1[[#This Row],[Gross Cost]]/Table1[[#This Row],[Viewable Impressions]],0)</f>
        <v>3.8025293452929021</v>
      </c>
      <c r="U725" s="10"/>
    </row>
    <row r="726" spans="1:21" x14ac:dyDescent="0.2">
      <c r="A726" t="s">
        <v>561</v>
      </c>
      <c r="B726" t="s">
        <v>14</v>
      </c>
      <c r="C726" t="s">
        <v>22</v>
      </c>
      <c r="D726" t="s">
        <v>54</v>
      </c>
      <c r="E726" t="str">
        <f>TRIM(RIGHT(Table1[[#This Row],[Location]],LEN(Table1[[#This Row],[Location]])-FIND(",",Table1[[#This Row],[Location]])))</f>
        <v>Florida</v>
      </c>
      <c r="F726" t="s">
        <v>538</v>
      </c>
      <c r="G726" t="s">
        <v>135</v>
      </c>
      <c r="H726" t="s">
        <v>26</v>
      </c>
      <c r="I726">
        <v>679098</v>
      </c>
      <c r="J726">
        <v>1984</v>
      </c>
      <c r="K726">
        <v>467726</v>
      </c>
      <c r="L726">
        <v>634589</v>
      </c>
      <c r="M726">
        <v>9</v>
      </c>
      <c r="N726">
        <v>1477.4248560000001</v>
      </c>
      <c r="O726" s="7">
        <f>IFERROR(Table1[[#This Row],[Clicks]]/Table1[[#This Row],[Impressions]],0)</f>
        <v>2.9215223723232878E-3</v>
      </c>
      <c r="P726" s="5">
        <f>IFERROR(Table1[[#This Row],[Total Conversions]]/Table1[[#This Row],[Clicks]],0)</f>
        <v>4.5362903225806455E-3</v>
      </c>
      <c r="Q726" s="10">
        <f>IFERROR(Table1[[#This Row],[Gross Cost]]/Table1[[#This Row],[Total Conversions]],0)</f>
        <v>164.15831733333334</v>
      </c>
      <c r="R726" s="10">
        <f>IFERROR(Table1[[#This Row],[Gross Cost]]/(Table1[[#This Row],[Impressions]]/1000),0)</f>
        <v>2.1755694406403792</v>
      </c>
      <c r="S726" s="5">
        <f>IFERROR(Table1[[#This Row],[Viewable Impressions]]/Table1[[#This Row],[Measurable Impressions]],0)</f>
        <v>0.73705343143357349</v>
      </c>
      <c r="T726" s="10">
        <f>IFERROR(1000*Table1[[#This Row],[Gross Cost]]/Table1[[#This Row],[Viewable Impressions]],0)</f>
        <v>3.1587400657649995</v>
      </c>
      <c r="U726" s="10"/>
    </row>
    <row r="727" spans="1:21" x14ac:dyDescent="0.2">
      <c r="A727" t="s">
        <v>612</v>
      </c>
      <c r="B727" t="s">
        <v>21</v>
      </c>
      <c r="C727" t="s">
        <v>41</v>
      </c>
      <c r="D727" t="s">
        <v>34</v>
      </c>
      <c r="E727" t="str">
        <f>TRIM(RIGHT(Table1[[#This Row],[Location]],LEN(Table1[[#This Row],[Location]])-FIND(",",Table1[[#This Row],[Location]])))</f>
        <v>Illinois</v>
      </c>
      <c r="F727" t="s">
        <v>611</v>
      </c>
      <c r="G727" t="s">
        <v>25</v>
      </c>
      <c r="H727" t="s">
        <v>26</v>
      </c>
      <c r="I727">
        <v>4154911</v>
      </c>
      <c r="J727">
        <v>1254</v>
      </c>
      <c r="K727">
        <v>2338732</v>
      </c>
      <c r="L727">
        <v>3445626</v>
      </c>
      <c r="M727">
        <v>154</v>
      </c>
      <c r="N727">
        <v>8038.5703709999998</v>
      </c>
      <c r="O727" s="7">
        <f>IFERROR(Table1[[#This Row],[Clicks]]/Table1[[#This Row],[Impressions]],0)</f>
        <v>3.0181151894709659E-4</v>
      </c>
      <c r="P727" s="5">
        <f>IFERROR(Table1[[#This Row],[Total Conversions]]/Table1[[#This Row],[Clicks]],0)</f>
        <v>0.12280701754385964</v>
      </c>
      <c r="Q727" s="10">
        <f>IFERROR(Table1[[#This Row],[Gross Cost]]/Table1[[#This Row],[Total Conversions]],0)</f>
        <v>52.198508902597403</v>
      </c>
      <c r="R727" s="10">
        <f>IFERROR(Table1[[#This Row],[Gross Cost]]/(Table1[[#This Row],[Impressions]]/1000),0)</f>
        <v>1.9347154177309693</v>
      </c>
      <c r="S727" s="5">
        <f>IFERROR(Table1[[#This Row],[Viewable Impressions]]/Table1[[#This Row],[Measurable Impressions]],0)</f>
        <v>0.67875387520293839</v>
      </c>
      <c r="T727" s="10">
        <f>IFERROR(1000*Table1[[#This Row],[Gross Cost]]/Table1[[#This Row],[Viewable Impressions]],0)</f>
        <v>3.4371490068122381</v>
      </c>
      <c r="U727" s="10"/>
    </row>
    <row r="728" spans="1:21" x14ac:dyDescent="0.2">
      <c r="A728" t="s">
        <v>624</v>
      </c>
      <c r="B728" t="s">
        <v>21</v>
      </c>
      <c r="C728" t="s">
        <v>22</v>
      </c>
      <c r="D728" t="s">
        <v>34</v>
      </c>
      <c r="E728" t="str">
        <f>TRIM(RIGHT(Table1[[#This Row],[Location]],LEN(Table1[[#This Row],[Location]])-FIND(",",Table1[[#This Row],[Location]])))</f>
        <v>Illinois</v>
      </c>
      <c r="F728" t="s">
        <v>611</v>
      </c>
      <c r="G728" t="s">
        <v>47</v>
      </c>
      <c r="H728" t="s">
        <v>26</v>
      </c>
      <c r="I728">
        <v>3196231</v>
      </c>
      <c r="J728">
        <v>8745</v>
      </c>
      <c r="K728">
        <v>2013324</v>
      </c>
      <c r="L728">
        <v>2669103</v>
      </c>
      <c r="M728">
        <v>70</v>
      </c>
      <c r="N728">
        <v>5756.2711719999998</v>
      </c>
      <c r="O728" s="7">
        <f>IFERROR(Table1[[#This Row],[Clicks]]/Table1[[#This Row],[Impressions]],0)</f>
        <v>2.7360350362661524E-3</v>
      </c>
      <c r="P728" s="5">
        <f>IFERROR(Table1[[#This Row],[Total Conversions]]/Table1[[#This Row],[Clicks]],0)</f>
        <v>8.0045740423098921E-3</v>
      </c>
      <c r="Q728" s="10">
        <f>IFERROR(Table1[[#This Row],[Gross Cost]]/Table1[[#This Row],[Total Conversions]],0)</f>
        <v>82.232445314285712</v>
      </c>
      <c r="R728" s="10">
        <f>IFERROR(Table1[[#This Row],[Gross Cost]]/(Table1[[#This Row],[Impressions]]/1000),0)</f>
        <v>1.8009559296558977</v>
      </c>
      <c r="S728" s="5">
        <f>IFERROR(Table1[[#This Row],[Viewable Impressions]]/Table1[[#This Row],[Measurable Impressions]],0)</f>
        <v>0.75430734595105542</v>
      </c>
      <c r="T728" s="10">
        <f>IFERROR(1000*Table1[[#This Row],[Gross Cost]]/Table1[[#This Row],[Viewable Impressions]],0)</f>
        <v>2.8590883394823683</v>
      </c>
      <c r="U728" s="10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Creative Size Overview</vt:lpstr>
      <vt:lpstr>Creative Messaging Overview</vt:lpstr>
      <vt:lpstr>Device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Rumee Moein M</dc:creator>
  <cp:lastModifiedBy>Rumee Moein M</cp:lastModifiedBy>
  <dcterms:created xsi:type="dcterms:W3CDTF">2025-11-04T03:00:10Z</dcterms:created>
  <dcterms:modified xsi:type="dcterms:W3CDTF">2025-11-20T07:49:48Z</dcterms:modified>
</cp:coreProperties>
</file>